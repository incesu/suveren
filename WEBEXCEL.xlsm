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Suveren\Desktop\suveren.com.tr\"/>
    </mc:Choice>
  </mc:AlternateContent>
  <xr:revisionPtr revIDLastSave="0" documentId="13_ncr:1_{BF57F490-C5CE-4D1F-B33D-E9B33430A75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ONUSTURUCUYE" sheetId="1" r:id="rId1"/>
    <sheet name="ADANKYE_YAPISTI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2" l="1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3" i="2"/>
  <c r="S4" i="2"/>
  <c r="T4" i="2" s="1"/>
  <c r="S5" i="2"/>
  <c r="S6" i="2"/>
  <c r="T6" i="2" s="1"/>
  <c r="S7" i="2"/>
  <c r="S8" i="2"/>
  <c r="S9" i="2"/>
  <c r="T9" i="2" s="1"/>
  <c r="S10" i="2"/>
  <c r="S11" i="2"/>
  <c r="T11" i="2" s="1"/>
  <c r="S12" i="2"/>
  <c r="S13" i="2"/>
  <c r="S14" i="2"/>
  <c r="T14" i="2" s="1"/>
  <c r="S15" i="2"/>
  <c r="S16" i="2"/>
  <c r="S17" i="2"/>
  <c r="S18" i="2"/>
  <c r="S19" i="2"/>
  <c r="S20" i="2"/>
  <c r="S21" i="2"/>
  <c r="T21" i="2" s="1"/>
  <c r="S22" i="2"/>
  <c r="T22" i="2" s="1"/>
  <c r="S23" i="2"/>
  <c r="T23" i="2" s="1"/>
  <c r="S24" i="2"/>
  <c r="T24" i="2" s="1"/>
  <c r="S25" i="2"/>
  <c r="S26" i="2"/>
  <c r="T26" i="2" s="1"/>
  <c r="S27" i="2"/>
  <c r="S28" i="2"/>
  <c r="T28" i="2" s="1"/>
  <c r="S29" i="2"/>
  <c r="S30" i="2"/>
  <c r="S31" i="2"/>
  <c r="S32" i="2"/>
  <c r="S33" i="2"/>
  <c r="T33" i="2" s="1"/>
  <c r="S34" i="2"/>
  <c r="T34" i="2" s="1"/>
  <c r="S35" i="2"/>
  <c r="T35" i="2" s="1"/>
  <c r="S36" i="2"/>
  <c r="T36" i="2" s="1"/>
  <c r="S37" i="2"/>
  <c r="S38" i="2"/>
  <c r="T38" i="2" s="1"/>
  <c r="S39" i="2"/>
  <c r="S40" i="2"/>
  <c r="T40" i="2" s="1"/>
  <c r="S41" i="2"/>
  <c r="S42" i="2"/>
  <c r="S43" i="2"/>
  <c r="S44" i="2"/>
  <c r="S45" i="2"/>
  <c r="T45" i="2" s="1"/>
  <c r="S46" i="2"/>
  <c r="T46" i="2" s="1"/>
  <c r="S47" i="2"/>
  <c r="T47" i="2" s="1"/>
  <c r="S48" i="2"/>
  <c r="S49" i="2"/>
  <c r="S50" i="2"/>
  <c r="T50" i="2" s="1"/>
  <c r="S51" i="2"/>
  <c r="S52" i="2"/>
  <c r="T52" i="2" s="1"/>
  <c r="S53" i="2"/>
  <c r="S54" i="2"/>
  <c r="T54" i="2" s="1"/>
  <c r="S55" i="2"/>
  <c r="S56" i="2"/>
  <c r="S57" i="2"/>
  <c r="T57" i="2" s="1"/>
  <c r="S58" i="2"/>
  <c r="T58" i="2" s="1"/>
  <c r="S59" i="2"/>
  <c r="S60" i="2"/>
  <c r="S61" i="2"/>
  <c r="S62" i="2"/>
  <c r="S63" i="2"/>
  <c r="S64" i="2"/>
  <c r="T64" i="2" s="1"/>
  <c r="S65" i="2"/>
  <c r="S66" i="2"/>
  <c r="S67" i="2"/>
  <c r="S68" i="2"/>
  <c r="S69" i="2"/>
  <c r="T69" i="2" s="1"/>
  <c r="S70" i="2"/>
  <c r="T70" i="2" s="1"/>
  <c r="S71" i="2"/>
  <c r="T71" i="2" s="1"/>
  <c r="S72" i="2"/>
  <c r="S73" i="2"/>
  <c r="S74" i="2"/>
  <c r="T74" i="2" s="1"/>
  <c r="S75" i="2"/>
  <c r="S76" i="2"/>
  <c r="S77" i="2"/>
  <c r="S78" i="2"/>
  <c r="T78" i="2" s="1"/>
  <c r="S79" i="2"/>
  <c r="S80" i="2"/>
  <c r="S81" i="2"/>
  <c r="T81" i="2" s="1"/>
  <c r="S82" i="2"/>
  <c r="T82" i="2" s="1"/>
  <c r="S83" i="2"/>
  <c r="T83" i="2" s="1"/>
  <c r="S84" i="2"/>
  <c r="S85" i="2"/>
  <c r="S86" i="2"/>
  <c r="T86" i="2" s="1"/>
  <c r="S87" i="2"/>
  <c r="S88" i="2"/>
  <c r="T88" i="2" s="1"/>
  <c r="S89" i="2"/>
  <c r="S90" i="2"/>
  <c r="T90" i="2" s="1"/>
  <c r="S91" i="2"/>
  <c r="S92" i="2"/>
  <c r="S93" i="2"/>
  <c r="T93" i="2" s="1"/>
  <c r="S94" i="2"/>
  <c r="S95" i="2"/>
  <c r="T95" i="2" s="1"/>
  <c r="S96" i="2"/>
  <c r="T96" i="2" s="1"/>
  <c r="S97" i="2"/>
  <c r="S98" i="2"/>
  <c r="T98" i="2" s="1"/>
  <c r="S99" i="2"/>
  <c r="S100" i="2"/>
  <c r="S101" i="2"/>
  <c r="S102" i="2"/>
  <c r="S103" i="2"/>
  <c r="S104" i="2"/>
  <c r="S105" i="2"/>
  <c r="T105" i="2" s="1"/>
  <c r="S106" i="2"/>
  <c r="S107" i="2"/>
  <c r="S108" i="2"/>
  <c r="S109" i="2"/>
  <c r="S110" i="2"/>
  <c r="T110" i="2" s="1"/>
  <c r="S111" i="2"/>
  <c r="S112" i="2"/>
  <c r="T112" i="2" s="1"/>
  <c r="S113" i="2"/>
  <c r="S114" i="2"/>
  <c r="S115" i="2"/>
  <c r="S116" i="2"/>
  <c r="S117" i="2"/>
  <c r="T117" i="2" s="1"/>
  <c r="S118" i="2"/>
  <c r="T118" i="2" s="1"/>
  <c r="S119" i="2"/>
  <c r="T119" i="2" s="1"/>
  <c r="S120" i="2"/>
  <c r="T120" i="2" s="1"/>
  <c r="S121" i="2"/>
  <c r="S122" i="2"/>
  <c r="T122" i="2" s="1"/>
  <c r="S123" i="2"/>
  <c r="S124" i="2"/>
  <c r="S125" i="2"/>
  <c r="S126" i="2"/>
  <c r="S127" i="2"/>
  <c r="S128" i="2"/>
  <c r="S129" i="2"/>
  <c r="T129" i="2" s="1"/>
  <c r="S130" i="2"/>
  <c r="S131" i="2"/>
  <c r="T131" i="2" s="1"/>
  <c r="S132" i="2"/>
  <c r="S133" i="2"/>
  <c r="S134" i="2"/>
  <c r="T134" i="2" s="1"/>
  <c r="S135" i="2"/>
  <c r="S136" i="2"/>
  <c r="T136" i="2" s="1"/>
  <c r="S137" i="2"/>
  <c r="S138" i="2"/>
  <c r="S139" i="2"/>
  <c r="S140" i="2"/>
  <c r="S141" i="2"/>
  <c r="T141" i="2" s="1"/>
  <c r="S142" i="2"/>
  <c r="T142" i="2" s="1"/>
  <c r="S143" i="2"/>
  <c r="T143" i="2" s="1"/>
  <c r="S144" i="2"/>
  <c r="S145" i="2"/>
  <c r="S146" i="2"/>
  <c r="T146" i="2" s="1"/>
  <c r="S147" i="2"/>
  <c r="S148" i="2"/>
  <c r="T148" i="2" s="1"/>
  <c r="S149" i="2"/>
  <c r="S150" i="2"/>
  <c r="T150" i="2" s="1"/>
  <c r="S151" i="2"/>
  <c r="S152" i="2"/>
  <c r="S153" i="2"/>
  <c r="T153" i="2" s="1"/>
  <c r="S154" i="2"/>
  <c r="T154" i="2" s="1"/>
  <c r="S155" i="2"/>
  <c r="T155" i="2" s="1"/>
  <c r="S156" i="2"/>
  <c r="T156" i="2" s="1"/>
  <c r="S157" i="2"/>
  <c r="S158" i="2"/>
  <c r="S159" i="2"/>
  <c r="S160" i="2"/>
  <c r="T160" i="2" s="1"/>
  <c r="S161" i="2"/>
  <c r="S162" i="2"/>
  <c r="T162" i="2" s="1"/>
  <c r="S163" i="2"/>
  <c r="S164" i="2"/>
  <c r="S165" i="2"/>
  <c r="T165" i="2" s="1"/>
  <c r="S166" i="2"/>
  <c r="T166" i="2" s="1"/>
  <c r="S167" i="2"/>
  <c r="S168" i="2"/>
  <c r="S169" i="2"/>
  <c r="S170" i="2"/>
  <c r="T170" i="2" s="1"/>
  <c r="S171" i="2"/>
  <c r="S172" i="2"/>
  <c r="S173" i="2"/>
  <c r="S174" i="2"/>
  <c r="T174" i="2" s="1"/>
  <c r="S175" i="2"/>
  <c r="S176" i="2"/>
  <c r="S177" i="2"/>
  <c r="T177" i="2" s="1"/>
  <c r="S178" i="2"/>
  <c r="T178" i="2" s="1"/>
  <c r="S179" i="2"/>
  <c r="S180" i="2"/>
  <c r="S181" i="2"/>
  <c r="S182" i="2"/>
  <c r="T182" i="2" s="1"/>
  <c r="S183" i="2"/>
  <c r="S184" i="2"/>
  <c r="T184" i="2" s="1"/>
  <c r="S185" i="2"/>
  <c r="S186" i="2"/>
  <c r="S187" i="2"/>
  <c r="S188" i="2"/>
  <c r="S189" i="2"/>
  <c r="T189" i="2" s="1"/>
  <c r="S190" i="2"/>
  <c r="S191" i="2"/>
  <c r="T191" i="2" s="1"/>
  <c r="S192" i="2"/>
  <c r="S193" i="2"/>
  <c r="S194" i="2"/>
  <c r="T194" i="2" s="1"/>
  <c r="S195" i="2"/>
  <c r="S196" i="2"/>
  <c r="T196" i="2" s="1"/>
  <c r="S197" i="2"/>
  <c r="S198" i="2"/>
  <c r="S199" i="2"/>
  <c r="S200" i="2"/>
  <c r="S201" i="2"/>
  <c r="T201" i="2" s="1"/>
  <c r="S202" i="2"/>
  <c r="S203" i="2"/>
  <c r="T203" i="2" s="1"/>
  <c r="S204" i="2"/>
  <c r="T204" i="2" s="1"/>
  <c r="S205" i="2"/>
  <c r="S206" i="2"/>
  <c r="T206" i="2" s="1"/>
  <c r="S207" i="2"/>
  <c r="S208" i="2"/>
  <c r="T208" i="2" s="1"/>
  <c r="S209" i="2"/>
  <c r="S210" i="2"/>
  <c r="S211" i="2"/>
  <c r="S212" i="2"/>
  <c r="S213" i="2"/>
  <c r="T213" i="2" s="1"/>
  <c r="S214" i="2"/>
  <c r="T214" i="2" s="1"/>
  <c r="S215" i="2"/>
  <c r="S216" i="2"/>
  <c r="S217" i="2"/>
  <c r="S218" i="2"/>
  <c r="T218" i="2" s="1"/>
  <c r="S219" i="2"/>
  <c r="S220" i="2"/>
  <c r="S221" i="2"/>
  <c r="S222" i="2"/>
  <c r="S223" i="2"/>
  <c r="S224" i="2"/>
  <c r="S225" i="2"/>
  <c r="T225" i="2" s="1"/>
  <c r="S226" i="2"/>
  <c r="S227" i="2"/>
  <c r="S228" i="2"/>
  <c r="T228" i="2" s="1"/>
  <c r="S229" i="2"/>
  <c r="S230" i="2"/>
  <c r="T230" i="2" s="1"/>
  <c r="S231" i="2"/>
  <c r="S232" i="2"/>
  <c r="T232" i="2" s="1"/>
  <c r="S233" i="2"/>
  <c r="S234" i="2"/>
  <c r="S235" i="2"/>
  <c r="S236" i="2"/>
  <c r="S237" i="2"/>
  <c r="T237" i="2" s="1"/>
  <c r="S238" i="2"/>
  <c r="S239" i="2"/>
  <c r="T239" i="2" s="1"/>
  <c r="S240" i="2"/>
  <c r="T240" i="2" s="1"/>
  <c r="S241" i="2"/>
  <c r="S242" i="2"/>
  <c r="T242" i="2" s="1"/>
  <c r="S243" i="2"/>
  <c r="S244" i="2"/>
  <c r="T244" i="2" s="1"/>
  <c r="S245" i="2"/>
  <c r="S246" i="2"/>
  <c r="S247" i="2"/>
  <c r="S248" i="2"/>
  <c r="S249" i="2"/>
  <c r="T249" i="2" s="1"/>
  <c r="S250" i="2"/>
  <c r="T250" i="2" s="1"/>
  <c r="S251" i="2"/>
  <c r="S252" i="2"/>
  <c r="T252" i="2" s="1"/>
  <c r="S253" i="2"/>
  <c r="S254" i="2"/>
  <c r="T254" i="2" s="1"/>
  <c r="S255" i="2"/>
  <c r="S256" i="2"/>
  <c r="S257" i="2"/>
  <c r="S258" i="2"/>
  <c r="T258" i="2" s="1"/>
  <c r="S259" i="2"/>
  <c r="S260" i="2"/>
  <c r="S261" i="2"/>
  <c r="T261" i="2" s="1"/>
  <c r="S262" i="2"/>
  <c r="S263" i="2"/>
  <c r="T263" i="2" s="1"/>
  <c r="S264" i="2"/>
  <c r="S265" i="2"/>
  <c r="S266" i="2"/>
  <c r="T266" i="2" s="1"/>
  <c r="S267" i="2"/>
  <c r="S268" i="2"/>
  <c r="T268" i="2" s="1"/>
  <c r="S269" i="2"/>
  <c r="S270" i="2"/>
  <c r="S271" i="2"/>
  <c r="S272" i="2"/>
  <c r="S273" i="2"/>
  <c r="T273" i="2" s="1"/>
  <c r="S274" i="2"/>
  <c r="T274" i="2" s="1"/>
  <c r="S275" i="2"/>
  <c r="T275" i="2" s="1"/>
  <c r="S276" i="2"/>
  <c r="T276" i="2" s="1"/>
  <c r="S277" i="2"/>
  <c r="S278" i="2"/>
  <c r="T278" i="2" s="1"/>
  <c r="S279" i="2"/>
  <c r="S280" i="2"/>
  <c r="T280" i="2" s="1"/>
  <c r="S281" i="2"/>
  <c r="S282" i="2"/>
  <c r="T282" i="2" s="1"/>
  <c r="S283" i="2"/>
  <c r="S284" i="2"/>
  <c r="S285" i="2"/>
  <c r="T285" i="2" s="1"/>
  <c r="S286" i="2"/>
  <c r="S287" i="2"/>
  <c r="S288" i="2"/>
  <c r="S289" i="2"/>
  <c r="S290" i="2"/>
  <c r="T290" i="2" s="1"/>
  <c r="S291" i="2"/>
  <c r="S292" i="2"/>
  <c r="T292" i="2" s="1"/>
  <c r="S293" i="2"/>
  <c r="S294" i="2"/>
  <c r="T294" i="2" s="1"/>
  <c r="S295" i="2"/>
  <c r="S296" i="2"/>
  <c r="S297" i="2"/>
  <c r="T297" i="2" s="1"/>
  <c r="S298" i="2"/>
  <c r="T298" i="2" s="1"/>
  <c r="S299" i="2"/>
  <c r="T299" i="2" s="1"/>
  <c r="S300" i="2"/>
  <c r="S301" i="2"/>
  <c r="S302" i="2"/>
  <c r="T302" i="2" s="1"/>
  <c r="S303" i="2"/>
  <c r="S304" i="2"/>
  <c r="T304" i="2" s="1"/>
  <c r="S305" i="2"/>
  <c r="S306" i="2"/>
  <c r="S307" i="2"/>
  <c r="S308" i="2"/>
  <c r="S309" i="2"/>
  <c r="T309" i="2" s="1"/>
  <c r="S310" i="2"/>
  <c r="S311" i="2"/>
  <c r="T311" i="2" s="1"/>
  <c r="S312" i="2"/>
  <c r="T312" i="2" s="1"/>
  <c r="S313" i="2"/>
  <c r="S314" i="2"/>
  <c r="T314" i="2" s="1"/>
  <c r="S315" i="2"/>
  <c r="S316" i="2"/>
  <c r="S317" i="2"/>
  <c r="S318" i="2"/>
  <c r="S319" i="2"/>
  <c r="S320" i="2"/>
  <c r="S321" i="2"/>
  <c r="T321" i="2" s="1"/>
  <c r="S322" i="2"/>
  <c r="T322" i="2" s="1"/>
  <c r="S323" i="2"/>
  <c r="T323" i="2" s="1"/>
  <c r="S324" i="2"/>
  <c r="S325" i="2"/>
  <c r="S326" i="2"/>
  <c r="T326" i="2" s="1"/>
  <c r="S327" i="2"/>
  <c r="S328" i="2"/>
  <c r="S329" i="2"/>
  <c r="S330" i="2"/>
  <c r="T330" i="2" s="1"/>
  <c r="S331" i="2"/>
  <c r="S332" i="2"/>
  <c r="S333" i="2"/>
  <c r="T333" i="2" s="1"/>
  <c r="S334" i="2"/>
  <c r="T334" i="2" s="1"/>
  <c r="S335" i="2"/>
  <c r="T335" i="2" s="1"/>
  <c r="S336" i="2"/>
  <c r="S337" i="2"/>
  <c r="S338" i="2"/>
  <c r="T338" i="2" s="1"/>
  <c r="S339" i="2"/>
  <c r="S340" i="2"/>
  <c r="S341" i="2"/>
  <c r="S342" i="2"/>
  <c r="T342" i="2" s="1"/>
  <c r="S343" i="2"/>
  <c r="S344" i="2"/>
  <c r="S345" i="2"/>
  <c r="T345" i="2" s="1"/>
  <c r="S346" i="2"/>
  <c r="S347" i="2"/>
  <c r="T347" i="2" s="1"/>
  <c r="S348" i="2"/>
  <c r="T348" i="2" s="1"/>
  <c r="S349" i="2"/>
  <c r="S350" i="2"/>
  <c r="T350" i="2" s="1"/>
  <c r="S351" i="2"/>
  <c r="S352" i="2"/>
  <c r="S353" i="2"/>
  <c r="S354" i="2"/>
  <c r="T354" i="2" s="1"/>
  <c r="S355" i="2"/>
  <c r="S356" i="2"/>
  <c r="S357" i="2"/>
  <c r="S358" i="2"/>
  <c r="T358" i="2" s="1"/>
  <c r="S359" i="2"/>
  <c r="S360" i="2"/>
  <c r="T360" i="2" s="1"/>
  <c r="S361" i="2"/>
  <c r="S362" i="2"/>
  <c r="T362" i="2" s="1"/>
  <c r="S363" i="2"/>
  <c r="S364" i="2"/>
  <c r="T364" i="2" s="1"/>
  <c r="S365" i="2"/>
  <c r="S366" i="2"/>
  <c r="S367" i="2"/>
  <c r="S368" i="2"/>
  <c r="S369" i="2"/>
  <c r="T369" i="2" s="1"/>
  <c r="S370" i="2"/>
  <c r="T370" i="2" s="1"/>
  <c r="S371" i="2"/>
  <c r="T371" i="2" s="1"/>
  <c r="S372" i="2"/>
  <c r="T372" i="2" s="1"/>
  <c r="S373" i="2"/>
  <c r="S374" i="2"/>
  <c r="T374" i="2" s="1"/>
  <c r="S375" i="2"/>
  <c r="S376" i="2"/>
  <c r="T376" i="2" s="1"/>
  <c r="S377" i="2"/>
  <c r="S378" i="2"/>
  <c r="T378" i="2" s="1"/>
  <c r="S379" i="2"/>
  <c r="S380" i="2"/>
  <c r="S381" i="2"/>
  <c r="T381" i="2" s="1"/>
  <c r="S382" i="2"/>
  <c r="S383" i="2"/>
  <c r="T383" i="2" s="1"/>
  <c r="S384" i="2"/>
  <c r="S385" i="2"/>
  <c r="S386" i="2"/>
  <c r="T386" i="2" s="1"/>
  <c r="S387" i="2"/>
  <c r="S388" i="2"/>
  <c r="S389" i="2"/>
  <c r="S390" i="2"/>
  <c r="S391" i="2"/>
  <c r="S392" i="2"/>
  <c r="S393" i="2"/>
  <c r="T393" i="2" s="1"/>
  <c r="S394" i="2"/>
  <c r="T394" i="2" s="1"/>
  <c r="S395" i="2"/>
  <c r="T395" i="2" s="1"/>
  <c r="S396" i="2"/>
  <c r="S397" i="2"/>
  <c r="S398" i="2"/>
  <c r="T398" i="2" s="1"/>
  <c r="S399" i="2"/>
  <c r="S400" i="2"/>
  <c r="S401" i="2"/>
  <c r="S402" i="2"/>
  <c r="S403" i="2"/>
  <c r="S404" i="2"/>
  <c r="S405" i="2"/>
  <c r="T405" i="2" s="1"/>
  <c r="S406" i="2"/>
  <c r="T406" i="2" s="1"/>
  <c r="S407" i="2"/>
  <c r="T407" i="2" s="1"/>
  <c r="S408" i="2"/>
  <c r="S409" i="2"/>
  <c r="S410" i="2"/>
  <c r="T410" i="2" s="1"/>
  <c r="S411" i="2"/>
  <c r="S412" i="2"/>
  <c r="T412" i="2" s="1"/>
  <c r="S413" i="2"/>
  <c r="S414" i="2"/>
  <c r="S415" i="2"/>
  <c r="S416" i="2"/>
  <c r="S417" i="2"/>
  <c r="T417" i="2" s="1"/>
  <c r="S418" i="2"/>
  <c r="T418" i="2" s="1"/>
  <c r="S419" i="2"/>
  <c r="T419" i="2" s="1"/>
  <c r="S420" i="2"/>
  <c r="T420" i="2" s="1"/>
  <c r="S421" i="2"/>
  <c r="S422" i="2"/>
  <c r="S423" i="2"/>
  <c r="S424" i="2"/>
  <c r="S425" i="2"/>
  <c r="S426" i="2"/>
  <c r="T426" i="2" s="1"/>
  <c r="S427" i="2"/>
  <c r="S428" i="2"/>
  <c r="S429" i="2"/>
  <c r="T429" i="2" s="1"/>
  <c r="S430" i="2"/>
  <c r="S431" i="2"/>
  <c r="T431" i="2" s="1"/>
  <c r="S432" i="2"/>
  <c r="S433" i="2"/>
  <c r="S434" i="2"/>
  <c r="T434" i="2" s="1"/>
  <c r="S435" i="2"/>
  <c r="S436" i="2"/>
  <c r="T436" i="2" s="1"/>
  <c r="S437" i="2"/>
  <c r="S438" i="2"/>
  <c r="S439" i="2"/>
  <c r="S440" i="2"/>
  <c r="S441" i="2"/>
  <c r="T441" i="2" s="1"/>
  <c r="S442" i="2"/>
  <c r="S443" i="2"/>
  <c r="T443" i="2" s="1"/>
  <c r="S444" i="2"/>
  <c r="S445" i="2"/>
  <c r="S446" i="2"/>
  <c r="T446" i="2" s="1"/>
  <c r="S447" i="2"/>
  <c r="S448" i="2"/>
  <c r="T448" i="2" s="1"/>
  <c r="S449" i="2"/>
  <c r="S450" i="2"/>
  <c r="T450" i="2" s="1"/>
  <c r="S451" i="2"/>
  <c r="S452" i="2"/>
  <c r="S453" i="2"/>
  <c r="T453" i="2" s="1"/>
  <c r="S454" i="2"/>
  <c r="T454" i="2" s="1"/>
  <c r="S455" i="2"/>
  <c r="T455" i="2" s="1"/>
  <c r="S456" i="2"/>
  <c r="S457" i="2"/>
  <c r="S458" i="2"/>
  <c r="T458" i="2" s="1"/>
  <c r="S459" i="2"/>
  <c r="S460" i="2"/>
  <c r="S461" i="2"/>
  <c r="S462" i="2"/>
  <c r="S463" i="2"/>
  <c r="S464" i="2"/>
  <c r="S465" i="2"/>
  <c r="T465" i="2" s="1"/>
  <c r="S466" i="2"/>
  <c r="T466" i="2" s="1"/>
  <c r="S467" i="2"/>
  <c r="T467" i="2" s="1"/>
  <c r="S468" i="2"/>
  <c r="S469" i="2"/>
  <c r="S470" i="2"/>
  <c r="T470" i="2" s="1"/>
  <c r="S471" i="2"/>
  <c r="S472" i="2"/>
  <c r="T472" i="2" s="1"/>
  <c r="S473" i="2"/>
  <c r="S474" i="2"/>
  <c r="T474" i="2" s="1"/>
  <c r="S475" i="2"/>
  <c r="S476" i="2"/>
  <c r="S477" i="2"/>
  <c r="S478" i="2"/>
  <c r="T478" i="2" s="1"/>
  <c r="S479" i="2"/>
  <c r="T479" i="2" s="1"/>
  <c r="S480" i="2"/>
  <c r="S481" i="2"/>
  <c r="S482" i="2"/>
  <c r="T482" i="2" s="1"/>
  <c r="S483" i="2"/>
  <c r="S484" i="2"/>
  <c r="T484" i="2" s="1"/>
  <c r="S485" i="2"/>
  <c r="S486" i="2"/>
  <c r="S487" i="2"/>
  <c r="S488" i="2"/>
  <c r="S489" i="2"/>
  <c r="T489" i="2" s="1"/>
  <c r="S490" i="2"/>
  <c r="S491" i="2"/>
  <c r="T491" i="2" s="1"/>
  <c r="S492" i="2"/>
  <c r="S493" i="2"/>
  <c r="S494" i="2"/>
  <c r="T494" i="2" s="1"/>
  <c r="S495" i="2"/>
  <c r="S496" i="2"/>
  <c r="T496" i="2" s="1"/>
  <c r="S497" i="2"/>
  <c r="S498" i="2"/>
  <c r="T498" i="2" s="1"/>
  <c r="S499" i="2"/>
  <c r="T499" i="2" s="1"/>
  <c r="S500" i="2"/>
  <c r="S501" i="2"/>
  <c r="T501" i="2" s="1"/>
  <c r="S502" i="2"/>
  <c r="S503" i="2"/>
  <c r="T503" i="2" s="1"/>
  <c r="S504" i="2"/>
  <c r="S505" i="2"/>
  <c r="S506" i="2"/>
  <c r="T506" i="2" s="1"/>
  <c r="S507" i="2"/>
  <c r="S508" i="2"/>
  <c r="T508" i="2" s="1"/>
  <c r="S509" i="2"/>
  <c r="S510" i="2"/>
  <c r="T510" i="2" s="1"/>
  <c r="S511" i="2"/>
  <c r="T511" i="2" s="1"/>
  <c r="S512" i="2"/>
  <c r="S513" i="2"/>
  <c r="T513" i="2" s="1"/>
  <c r="S514" i="2"/>
  <c r="S515" i="2"/>
  <c r="T515" i="2" s="1"/>
  <c r="S516" i="2"/>
  <c r="S517" i="2"/>
  <c r="S518" i="2"/>
  <c r="T518" i="2" s="1"/>
  <c r="S519" i="2"/>
  <c r="S520" i="2"/>
  <c r="S521" i="2"/>
  <c r="S522" i="2"/>
  <c r="S523" i="2"/>
  <c r="S524" i="2"/>
  <c r="S525" i="2"/>
  <c r="T525" i="2" s="1"/>
  <c r="S526" i="2"/>
  <c r="T526" i="2" s="1"/>
  <c r="S527" i="2"/>
  <c r="T527" i="2" s="1"/>
  <c r="S528" i="2"/>
  <c r="S529" i="2"/>
  <c r="S530" i="2"/>
  <c r="T530" i="2" s="1"/>
  <c r="S531" i="2"/>
  <c r="S532" i="2"/>
  <c r="S533" i="2"/>
  <c r="S534" i="2"/>
  <c r="T534" i="2" s="1"/>
  <c r="S535" i="2"/>
  <c r="S536" i="2"/>
  <c r="S537" i="2"/>
  <c r="T537" i="2" s="1"/>
  <c r="S538" i="2"/>
  <c r="T538" i="2" s="1"/>
  <c r="S539" i="2"/>
  <c r="T539" i="2" s="1"/>
  <c r="S540" i="2"/>
  <c r="S541" i="2"/>
  <c r="T541" i="2" s="1"/>
  <c r="S542" i="2"/>
  <c r="T542" i="2" s="1"/>
  <c r="S543" i="2"/>
  <c r="S544" i="2"/>
  <c r="S545" i="2"/>
  <c r="S546" i="2"/>
  <c r="T546" i="2" s="1"/>
  <c r="S547" i="2"/>
  <c r="T547" i="2" s="1"/>
  <c r="S548" i="2"/>
  <c r="S549" i="2"/>
  <c r="T549" i="2" s="1"/>
  <c r="S550" i="2"/>
  <c r="S551" i="2"/>
  <c r="T551" i="2" s="1"/>
  <c r="S552" i="2"/>
  <c r="S553" i="2"/>
  <c r="T553" i="2" s="1"/>
  <c r="S554" i="2"/>
  <c r="T554" i="2" s="1"/>
  <c r="S555" i="2"/>
  <c r="S556" i="2"/>
  <c r="T556" i="2" s="1"/>
  <c r="S557" i="2"/>
  <c r="S558" i="2"/>
  <c r="S559" i="2"/>
  <c r="T559" i="2" s="1"/>
  <c r="S560" i="2"/>
  <c r="S561" i="2"/>
  <c r="T561" i="2" s="1"/>
  <c r="S562" i="2"/>
  <c r="T562" i="2" s="1"/>
  <c r="S563" i="2"/>
  <c r="T563" i="2" s="1"/>
  <c r="S564" i="2"/>
  <c r="S565" i="2"/>
  <c r="T565" i="2" s="1"/>
  <c r="S566" i="2"/>
  <c r="S567" i="2"/>
  <c r="S568" i="2"/>
  <c r="S569" i="2"/>
  <c r="S570" i="2"/>
  <c r="T570" i="2" s="1"/>
  <c r="S571" i="2"/>
  <c r="S572" i="2"/>
  <c r="T572" i="2" s="1"/>
  <c r="S573" i="2"/>
  <c r="S574" i="2"/>
  <c r="T574" i="2" s="1"/>
  <c r="S575" i="2"/>
  <c r="T575" i="2" s="1"/>
  <c r="S576" i="2"/>
  <c r="T576" i="2" s="1"/>
  <c r="S577" i="2"/>
  <c r="T577" i="2" s="1"/>
  <c r="S578" i="2"/>
  <c r="S579" i="2"/>
  <c r="T579" i="2" s="1"/>
  <c r="S580" i="2"/>
  <c r="S581" i="2"/>
  <c r="T581" i="2" s="1"/>
  <c r="S582" i="2"/>
  <c r="S583" i="2"/>
  <c r="S584" i="2"/>
  <c r="T584" i="2" s="1"/>
  <c r="S585" i="2"/>
  <c r="S586" i="2"/>
  <c r="T586" i="2" s="1"/>
  <c r="S587" i="2"/>
  <c r="S588" i="2"/>
  <c r="T588" i="2" s="1"/>
  <c r="S589" i="2"/>
  <c r="T589" i="2" s="1"/>
  <c r="S590" i="2"/>
  <c r="S591" i="2"/>
  <c r="T591" i="2" s="1"/>
  <c r="S592" i="2"/>
  <c r="S593" i="2"/>
  <c r="S594" i="2"/>
  <c r="T594" i="2" s="1"/>
  <c r="S595" i="2"/>
  <c r="S596" i="2"/>
  <c r="T596" i="2" s="1"/>
  <c r="S597" i="2"/>
  <c r="S598" i="2"/>
  <c r="T598" i="2" s="1"/>
  <c r="S599" i="2"/>
  <c r="T599" i="2" s="1"/>
  <c r="S600" i="2"/>
  <c r="T600" i="2" s="1"/>
  <c r="S601" i="2"/>
  <c r="S602" i="2"/>
  <c r="T602" i="2" s="1"/>
  <c r="S603" i="2"/>
  <c r="T603" i="2" s="1"/>
  <c r="S604" i="2"/>
  <c r="S605" i="2"/>
  <c r="S606" i="2"/>
  <c r="S607" i="2"/>
  <c r="T607" i="2" s="1"/>
  <c r="S608" i="2"/>
  <c r="T608" i="2" s="1"/>
  <c r="S609" i="2"/>
  <c r="T609" i="2" s="1"/>
  <c r="S610" i="2"/>
  <c r="S611" i="2"/>
  <c r="T611" i="2" s="1"/>
  <c r="S612" i="2"/>
  <c r="T612" i="2" s="1"/>
  <c r="S613" i="2"/>
  <c r="S614" i="2"/>
  <c r="S615" i="2"/>
  <c r="T615" i="2" s="1"/>
  <c r="S616" i="2"/>
  <c r="S617" i="2"/>
  <c r="S618" i="2"/>
  <c r="T618" i="2" s="1"/>
  <c r="S619" i="2"/>
  <c r="S620" i="2"/>
  <c r="S621" i="2"/>
  <c r="T621" i="2" s="1"/>
  <c r="S622" i="2"/>
  <c r="S623" i="2"/>
  <c r="T623" i="2" s="1"/>
  <c r="S624" i="2"/>
  <c r="S625" i="2"/>
  <c r="T625" i="2" s="1"/>
  <c r="S626" i="2"/>
  <c r="S627" i="2"/>
  <c r="T627" i="2" s="1"/>
  <c r="S628" i="2"/>
  <c r="S629" i="2"/>
  <c r="S630" i="2"/>
  <c r="T630" i="2" s="1"/>
  <c r="S631" i="2"/>
  <c r="T631" i="2" s="1"/>
  <c r="S632" i="2"/>
  <c r="S633" i="2"/>
  <c r="T633" i="2" s="1"/>
  <c r="S634" i="2"/>
  <c r="S635" i="2"/>
  <c r="T635" i="2" s="1"/>
  <c r="S636" i="2"/>
  <c r="S637" i="2"/>
  <c r="T637" i="2" s="1"/>
  <c r="S638" i="2"/>
  <c r="S639" i="2"/>
  <c r="T639" i="2" s="1"/>
  <c r="S640" i="2"/>
  <c r="S641" i="2"/>
  <c r="S642" i="2"/>
  <c r="T642" i="2" s="1"/>
  <c r="S643" i="2"/>
  <c r="T643" i="2" s="1"/>
  <c r="S644" i="2"/>
  <c r="S645" i="2"/>
  <c r="T645" i="2" s="1"/>
  <c r="S646" i="2"/>
  <c r="S647" i="2"/>
  <c r="T647" i="2" s="1"/>
  <c r="S648" i="2"/>
  <c r="S649" i="2"/>
  <c r="T649" i="2" s="1"/>
  <c r="S650" i="2"/>
  <c r="T650" i="2" s="1"/>
  <c r="S651" i="2"/>
  <c r="T651" i="2" s="1"/>
  <c r="S652" i="2"/>
  <c r="S653" i="2"/>
  <c r="S654" i="2"/>
  <c r="T654" i="2" s="1"/>
  <c r="S655" i="2"/>
  <c r="T655" i="2" s="1"/>
  <c r="S656" i="2"/>
  <c r="S657" i="2"/>
  <c r="T657" i="2" s="1"/>
  <c r="S658" i="2"/>
  <c r="S659" i="2"/>
  <c r="T659" i="2" s="1"/>
  <c r="S660" i="2"/>
  <c r="S661" i="2"/>
  <c r="T661" i="2" s="1"/>
  <c r="S662" i="2"/>
  <c r="S663" i="2"/>
  <c r="T663" i="2" s="1"/>
  <c r="S664" i="2"/>
  <c r="S665" i="2"/>
  <c r="S666" i="2"/>
  <c r="T666" i="2" s="1"/>
  <c r="S667" i="2"/>
  <c r="T667" i="2" s="1"/>
  <c r="S668" i="2"/>
  <c r="S669" i="2"/>
  <c r="T669" i="2" s="1"/>
  <c r="S670" i="2"/>
  <c r="S671" i="2"/>
  <c r="T671" i="2" s="1"/>
  <c r="S672" i="2"/>
  <c r="S673" i="2"/>
  <c r="T673" i="2" s="1"/>
  <c r="S674" i="2"/>
  <c r="T674" i="2" s="1"/>
  <c r="S675" i="2"/>
  <c r="T675" i="2" s="1"/>
  <c r="S676" i="2"/>
  <c r="S677" i="2"/>
  <c r="S678" i="2"/>
  <c r="T678" i="2" s="1"/>
  <c r="S679" i="2"/>
  <c r="T679" i="2" s="1"/>
  <c r="S680" i="2"/>
  <c r="S681" i="2"/>
  <c r="T681" i="2" s="1"/>
  <c r="S682" i="2"/>
  <c r="S683" i="2"/>
  <c r="T683" i="2" s="1"/>
  <c r="S684" i="2"/>
  <c r="S685" i="2"/>
  <c r="T685" i="2" s="1"/>
  <c r="S686" i="2"/>
  <c r="T686" i="2" s="1"/>
  <c r="S687" i="2"/>
  <c r="T687" i="2" s="1"/>
  <c r="S688" i="2"/>
  <c r="S689" i="2"/>
  <c r="S690" i="2"/>
  <c r="S691" i="2"/>
  <c r="T691" i="2" s="1"/>
  <c r="S692" i="2"/>
  <c r="S693" i="2"/>
  <c r="T693" i="2" s="1"/>
  <c r="S694" i="2"/>
  <c r="S695" i="2"/>
  <c r="T695" i="2" s="1"/>
  <c r="S696" i="2"/>
  <c r="S697" i="2"/>
  <c r="T697" i="2" s="1"/>
  <c r="S698" i="2"/>
  <c r="S699" i="2"/>
  <c r="T699" i="2" s="1"/>
  <c r="S700" i="2"/>
  <c r="S701" i="2"/>
  <c r="S702" i="2"/>
  <c r="T702" i="2" s="1"/>
  <c r="S703" i="2"/>
  <c r="T703" i="2" s="1"/>
  <c r="S704" i="2"/>
  <c r="S705" i="2"/>
  <c r="T705" i="2" s="1"/>
  <c r="S706" i="2"/>
  <c r="S707" i="2"/>
  <c r="T707" i="2" s="1"/>
  <c r="S708" i="2"/>
  <c r="S709" i="2"/>
  <c r="S710" i="2"/>
  <c r="T710" i="2" s="1"/>
  <c r="S711" i="2"/>
  <c r="T711" i="2" s="1"/>
  <c r="S712" i="2"/>
  <c r="S713" i="2"/>
  <c r="S714" i="2"/>
  <c r="T714" i="2" s="1"/>
  <c r="S715" i="2"/>
  <c r="T715" i="2" s="1"/>
  <c r="S716" i="2"/>
  <c r="S717" i="2"/>
  <c r="T717" i="2" s="1"/>
  <c r="S718" i="2"/>
  <c r="S719" i="2"/>
  <c r="T719" i="2" s="1"/>
  <c r="S720" i="2"/>
  <c r="S721" i="2"/>
  <c r="T721" i="2" s="1"/>
  <c r="S722" i="2"/>
  <c r="T722" i="2" s="1"/>
  <c r="S723" i="2"/>
  <c r="S724" i="2"/>
  <c r="S725" i="2"/>
  <c r="S726" i="2"/>
  <c r="T726" i="2" s="1"/>
  <c r="S727" i="2"/>
  <c r="T727" i="2" s="1"/>
  <c r="S728" i="2"/>
  <c r="S729" i="2"/>
  <c r="T729" i="2" s="1"/>
  <c r="S730" i="2"/>
  <c r="S731" i="2"/>
  <c r="T731" i="2" s="1"/>
  <c r="S732" i="2"/>
  <c r="S733" i="2"/>
  <c r="T733" i="2" s="1"/>
  <c r="S734" i="2"/>
  <c r="S735" i="2"/>
  <c r="S736" i="2"/>
  <c r="S737" i="2"/>
  <c r="S738" i="2"/>
  <c r="T738" i="2" s="1"/>
  <c r="S739" i="2"/>
  <c r="T739" i="2" s="1"/>
  <c r="S740" i="2"/>
  <c r="S741" i="2"/>
  <c r="T741" i="2" s="1"/>
  <c r="S742" i="2"/>
  <c r="S743" i="2"/>
  <c r="T743" i="2" s="1"/>
  <c r="S744" i="2"/>
  <c r="S745" i="2"/>
  <c r="T745" i="2" s="1"/>
  <c r="S746" i="2"/>
  <c r="S747" i="2"/>
  <c r="S748" i="2"/>
  <c r="S749" i="2"/>
  <c r="S750" i="2"/>
  <c r="T750" i="2" s="1"/>
  <c r="S751" i="2"/>
  <c r="T751" i="2" s="1"/>
  <c r="S752" i="2"/>
  <c r="S753" i="2"/>
  <c r="T753" i="2" s="1"/>
  <c r="S754" i="2"/>
  <c r="S755" i="2"/>
  <c r="T755" i="2" s="1"/>
  <c r="S756" i="2"/>
  <c r="S757" i="2"/>
  <c r="T757" i="2" s="1"/>
  <c r="S758" i="2"/>
  <c r="S759" i="2"/>
  <c r="S760" i="2"/>
  <c r="S761" i="2"/>
  <c r="S762" i="2"/>
  <c r="T762" i="2" s="1"/>
  <c r="S763" i="2"/>
  <c r="T763" i="2" s="1"/>
  <c r="S764" i="2"/>
  <c r="S765" i="2"/>
  <c r="T765" i="2" s="1"/>
  <c r="S766" i="2"/>
  <c r="S767" i="2"/>
  <c r="T767" i="2" s="1"/>
  <c r="S768" i="2"/>
  <c r="S769" i="2"/>
  <c r="T769" i="2" s="1"/>
  <c r="S770" i="2"/>
  <c r="S771" i="2"/>
  <c r="S772" i="2"/>
  <c r="S773" i="2"/>
  <c r="S774" i="2"/>
  <c r="T774" i="2" s="1"/>
  <c r="S775" i="2"/>
  <c r="T775" i="2" s="1"/>
  <c r="S776" i="2"/>
  <c r="S777" i="2"/>
  <c r="T777" i="2" s="1"/>
  <c r="S778" i="2"/>
  <c r="S779" i="2"/>
  <c r="T779" i="2" s="1"/>
  <c r="S780" i="2"/>
  <c r="S781" i="2"/>
  <c r="T781" i="2" s="1"/>
  <c r="S782" i="2"/>
  <c r="S783" i="2"/>
  <c r="S784" i="2"/>
  <c r="S785" i="2"/>
  <c r="S786" i="2"/>
  <c r="S3" i="2"/>
  <c r="T3" i="2" s="1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3" i="2"/>
  <c r="T723" i="2"/>
  <c r="T724" i="2"/>
  <c r="T725" i="2"/>
  <c r="T728" i="2"/>
  <c r="T730" i="2"/>
  <c r="T732" i="2"/>
  <c r="T734" i="2"/>
  <c r="T735" i="2"/>
  <c r="T736" i="2"/>
  <c r="T737" i="2"/>
  <c r="T740" i="2"/>
  <c r="T742" i="2"/>
  <c r="T744" i="2"/>
  <c r="T746" i="2"/>
  <c r="T747" i="2"/>
  <c r="T748" i="2"/>
  <c r="T749" i="2"/>
  <c r="T752" i="2"/>
  <c r="T754" i="2"/>
  <c r="T756" i="2"/>
  <c r="T758" i="2"/>
  <c r="T759" i="2"/>
  <c r="T760" i="2"/>
  <c r="T761" i="2"/>
  <c r="T764" i="2"/>
  <c r="T766" i="2"/>
  <c r="T768" i="2"/>
  <c r="T770" i="2"/>
  <c r="T771" i="2"/>
  <c r="T772" i="2"/>
  <c r="T773" i="2"/>
  <c r="T776" i="2"/>
  <c r="T778" i="2"/>
  <c r="T780" i="2"/>
  <c r="T782" i="2"/>
  <c r="T783" i="2"/>
  <c r="T784" i="2"/>
  <c r="T785" i="2"/>
  <c r="T786" i="2"/>
  <c r="G793" i="1"/>
  <c r="G781" i="1"/>
  <c r="G769" i="1"/>
  <c r="G757" i="1"/>
  <c r="G745" i="1"/>
  <c r="G733" i="1"/>
  <c r="G721" i="1"/>
  <c r="G709" i="1"/>
  <c r="G697" i="1"/>
  <c r="G685" i="1"/>
  <c r="G673" i="1"/>
  <c r="G661" i="1"/>
  <c r="G649" i="1"/>
  <c r="G637" i="1"/>
  <c r="G625" i="1"/>
  <c r="G613" i="1"/>
  <c r="G601" i="1"/>
  <c r="G589" i="1"/>
  <c r="G577" i="1"/>
  <c r="G565" i="1"/>
  <c r="G553" i="1"/>
  <c r="G541" i="1"/>
  <c r="G529" i="1"/>
  <c r="G517" i="1"/>
  <c r="G505" i="1"/>
  <c r="G493" i="1"/>
  <c r="G481" i="1"/>
  <c r="G469" i="1"/>
  <c r="G457" i="1"/>
  <c r="G445" i="1"/>
  <c r="G433" i="1"/>
  <c r="G421" i="1"/>
  <c r="G409" i="1"/>
  <c r="G397" i="1"/>
  <c r="G385" i="1"/>
  <c r="G373" i="1"/>
  <c r="G361" i="1"/>
  <c r="G349" i="1"/>
  <c r="G337" i="1"/>
  <c r="G325" i="1"/>
  <c r="G313" i="1"/>
  <c r="G301" i="1"/>
  <c r="G289" i="1"/>
  <c r="G277" i="1"/>
  <c r="G265" i="1"/>
  <c r="G253" i="1"/>
  <c r="G241" i="1"/>
  <c r="G229" i="1"/>
  <c r="G217" i="1"/>
  <c r="G205" i="1"/>
  <c r="G193" i="1"/>
  <c r="G181" i="1"/>
  <c r="G169" i="1"/>
  <c r="G157" i="1"/>
  <c r="G145" i="1"/>
  <c r="G133" i="1"/>
  <c r="G121" i="1"/>
  <c r="G109" i="1"/>
  <c r="G97" i="1"/>
  <c r="G85" i="1"/>
  <c r="G73" i="1"/>
  <c r="G61" i="1"/>
  <c r="G49" i="1"/>
  <c r="G37" i="1"/>
  <c r="G25" i="1"/>
  <c r="G13" i="1"/>
  <c r="T423" i="2"/>
  <c r="T94" i="2"/>
  <c r="T604" i="2"/>
  <c r="T248" i="2"/>
  <c r="T682" i="2"/>
  <c r="T147" i="2"/>
  <c r="T613" i="2"/>
  <c r="T545" i="2"/>
  <c r="T601" i="2"/>
  <c r="T485" i="2"/>
  <c r="T253" i="2"/>
  <c r="T486" i="2"/>
  <c r="T32" i="2"/>
  <c r="T424" i="2"/>
  <c r="T202" i="2"/>
  <c r="T638" i="2"/>
  <c r="T65" i="2"/>
  <c r="T99" i="2"/>
  <c r="T336" i="2"/>
  <c r="T127" i="2"/>
  <c r="T626" i="2"/>
  <c r="T402" i="2"/>
  <c r="T582" i="2"/>
  <c r="T590" i="2"/>
  <c r="T100" i="2"/>
  <c r="T19" i="2"/>
  <c r="T173" i="2"/>
  <c r="T245" i="2"/>
  <c r="T229" i="2"/>
  <c r="T324" i="2"/>
  <c r="T606" i="2"/>
  <c r="T422" i="2"/>
  <c r="T462" i="2"/>
  <c r="T59" i="2"/>
  <c r="T532" i="2"/>
  <c r="T259" i="2"/>
  <c r="T672" i="2"/>
  <c r="T151" i="2"/>
  <c r="T573" i="2"/>
  <c r="T640" i="2"/>
  <c r="T284" i="2"/>
  <c r="T578" i="2"/>
  <c r="T617" i="2"/>
  <c r="T138" i="2"/>
  <c r="T247" i="2"/>
  <c r="T236" i="2"/>
  <c r="T690" i="2"/>
  <c r="T180" i="2"/>
  <c r="T144" i="2"/>
  <c r="T16" i="2"/>
  <c r="T27" i="2"/>
  <c r="T317" i="2"/>
  <c r="T483" i="2"/>
  <c r="T520" i="2"/>
  <c r="T220" i="2"/>
  <c r="T529" i="2"/>
  <c r="T116" i="2"/>
  <c r="T125" i="2"/>
  <c r="T87" i="2"/>
  <c r="T512" i="2"/>
  <c r="T492" i="2"/>
  <c r="T291" i="2"/>
  <c r="T293" i="2"/>
  <c r="T605" i="2"/>
  <c r="T365" i="2"/>
  <c r="T457" i="2"/>
  <c r="T522" i="2"/>
  <c r="T305" i="2"/>
  <c r="T48" i="2"/>
  <c r="T517" i="2"/>
  <c r="T200" i="2"/>
  <c r="T583" i="2"/>
  <c r="T528" i="2"/>
  <c r="T61" i="2"/>
  <c r="T262" i="2"/>
  <c r="T7" i="2"/>
  <c r="T267" i="2"/>
  <c r="T168" i="2"/>
  <c r="T44" i="2"/>
  <c r="T115" i="2"/>
  <c r="T389" i="2"/>
  <c r="T620" i="2"/>
  <c r="T452" i="2"/>
  <c r="T67" i="2"/>
  <c r="T677" i="2"/>
  <c r="T566" i="2"/>
  <c r="T205" i="2"/>
  <c r="T346" i="2"/>
  <c r="T30" i="2"/>
  <c r="T10" i="2"/>
  <c r="T121" i="2"/>
  <c r="T706" i="2"/>
  <c r="T163" i="2"/>
  <c r="T385" i="2"/>
  <c r="T20" i="2"/>
  <c r="T701" i="2"/>
  <c r="T226" i="2"/>
  <c r="T149" i="2"/>
  <c r="T15" i="2"/>
  <c r="T622" i="2"/>
  <c r="T432" i="2"/>
  <c r="T17" i="2"/>
  <c r="T480" i="2"/>
  <c r="T476" i="2"/>
  <c r="T167" i="2"/>
  <c r="T366" i="2"/>
  <c r="T238" i="2"/>
  <c r="T616" i="2"/>
  <c r="T433" i="2"/>
  <c r="T610" i="2"/>
  <c r="T224" i="2"/>
  <c r="T241" i="2"/>
  <c r="T504" i="2"/>
  <c r="T102" i="2"/>
  <c r="T101" i="2"/>
  <c r="T103" i="2"/>
  <c r="T130" i="2"/>
  <c r="T555" i="2"/>
  <c r="T388" i="2"/>
  <c r="T260" i="2"/>
  <c r="T169" i="2"/>
  <c r="T408" i="2"/>
  <c r="T595" i="2"/>
  <c r="T256" i="2"/>
  <c r="T544" i="2"/>
  <c r="T257" i="2"/>
  <c r="T60" i="2"/>
  <c r="T449" i="2"/>
  <c r="T159" i="2"/>
  <c r="T222" i="2"/>
  <c r="T593" i="2"/>
  <c r="T85" i="2"/>
  <c r="T139" i="2"/>
  <c r="T665" i="2"/>
  <c r="T692" i="2"/>
  <c r="T447" i="2"/>
  <c r="T391" i="2"/>
  <c r="T66" i="2"/>
  <c r="T210" i="2"/>
  <c r="T215" i="2"/>
  <c r="T684" i="2"/>
  <c r="T396" i="2"/>
  <c r="T709" i="2"/>
  <c r="T53" i="2"/>
  <c r="T414" i="2"/>
  <c r="T211" i="2"/>
  <c r="T190" i="2"/>
  <c r="T700" i="2"/>
  <c r="T140" i="2"/>
  <c r="T531" i="2"/>
  <c r="T471" i="2"/>
  <c r="T404" i="2"/>
  <c r="T301" i="2"/>
  <c r="T552" i="2"/>
  <c r="T540" i="2"/>
  <c r="T108" i="2"/>
  <c r="T109" i="2"/>
  <c r="T243" i="2"/>
  <c r="T223" i="2"/>
  <c r="T325" i="2"/>
  <c r="T523" i="2"/>
  <c r="T25" i="2"/>
  <c r="T668" i="2"/>
  <c r="T488" i="2"/>
  <c r="T199" i="2"/>
  <c r="T524" i="2"/>
  <c r="T286" i="2"/>
  <c r="T676" i="2"/>
  <c r="T306" i="2"/>
  <c r="T440" i="2"/>
  <c r="T135" i="2"/>
  <c r="T320" i="2"/>
  <c r="T704" i="2"/>
  <c r="T548" i="2"/>
  <c r="T550" i="2"/>
  <c r="T126" i="2"/>
  <c r="T106" i="2"/>
  <c r="T310" i="2"/>
  <c r="T63" i="2"/>
  <c r="T217" i="2"/>
  <c r="T152" i="2"/>
  <c r="T161" i="2"/>
  <c r="T493" i="2"/>
  <c r="T392" i="2"/>
  <c r="T264" i="2"/>
  <c r="T533" i="2"/>
  <c r="T568" i="2"/>
  <c r="T390" i="2"/>
  <c r="T387" i="2"/>
  <c r="T708" i="2"/>
  <c r="T382" i="2"/>
  <c r="T592" i="2"/>
  <c r="T13" i="2"/>
  <c r="T79" i="2"/>
  <c r="T403" i="2"/>
  <c r="T49" i="2"/>
  <c r="T137" i="2"/>
  <c r="T430" i="2"/>
  <c r="T84" i="2"/>
  <c r="T712" i="2"/>
  <c r="T195" i="2"/>
  <c r="T89" i="2"/>
  <c r="T128" i="2"/>
  <c r="T175" i="2"/>
  <c r="T251" i="2"/>
  <c r="T107" i="2"/>
  <c r="T221" i="2"/>
  <c r="T133" i="2"/>
  <c r="T689" i="2"/>
  <c r="T560" i="2"/>
  <c r="T183" i="2"/>
  <c r="T80" i="2"/>
  <c r="T181" i="2"/>
  <c r="T29" i="2"/>
  <c r="T641" i="2"/>
  <c r="T43" i="2"/>
  <c r="T636" i="2"/>
  <c r="T114" i="2"/>
  <c r="T502" i="2"/>
  <c r="T41" i="2"/>
  <c r="T355" i="2"/>
  <c r="T427" i="2"/>
  <c r="T624" i="2"/>
  <c r="T318" i="2"/>
  <c r="T567" i="2"/>
  <c r="T428" i="2"/>
  <c r="T179" i="2"/>
  <c r="T192" i="2"/>
  <c r="T216" i="2"/>
  <c r="T460" i="2"/>
  <c r="T104" i="2"/>
  <c r="T580" i="2"/>
  <c r="T31" i="2"/>
  <c r="T379" i="2"/>
  <c r="T416" i="2"/>
  <c r="T400" i="2"/>
  <c r="T8" i="2"/>
  <c r="T344" i="2"/>
  <c r="T351" i="2"/>
  <c r="T373" i="2"/>
  <c r="T375" i="2"/>
  <c r="T68" i="2"/>
  <c r="T97" i="2"/>
  <c r="T12" i="2"/>
  <c r="T463" i="2"/>
  <c r="T233" i="2"/>
  <c r="T614" i="2"/>
  <c r="T409" i="2"/>
  <c r="T648" i="2"/>
  <c r="T653" i="2"/>
  <c r="T281" i="2"/>
  <c r="T123" i="2"/>
  <c r="T55" i="2"/>
  <c r="T632" i="2"/>
  <c r="T235" i="2"/>
  <c r="T157" i="2"/>
  <c r="T445" i="2"/>
  <c r="T509" i="2"/>
  <c r="T209" i="2"/>
  <c r="T72" i="2"/>
  <c r="T656" i="2"/>
  <c r="T349" i="2"/>
  <c r="T111" i="2"/>
  <c r="T331" i="2"/>
  <c r="T628" i="2"/>
  <c r="T340" i="2"/>
  <c r="T451" i="2"/>
  <c r="T77" i="2"/>
  <c r="T39" i="2"/>
  <c r="T646" i="2"/>
  <c r="T497" i="2"/>
  <c r="T207" i="2"/>
  <c r="T468" i="2"/>
  <c r="T401" i="2"/>
  <c r="T629" i="2"/>
  <c r="T536" i="2"/>
  <c r="T585" i="2"/>
  <c r="T42" i="2"/>
  <c r="T569" i="2"/>
  <c r="T277" i="2"/>
  <c r="T469" i="2"/>
  <c r="T51" i="2"/>
  <c r="T75" i="2"/>
  <c r="T361" i="2"/>
  <c r="T437" i="2"/>
  <c r="T197" i="2"/>
  <c r="T313" i="2"/>
  <c r="T37" i="2"/>
  <c r="T198" i="2"/>
  <c r="T564" i="2"/>
  <c r="T76" i="2"/>
  <c r="T425" i="2"/>
  <c r="T92" i="2"/>
  <c r="T296" i="2"/>
  <c r="T688" i="2"/>
  <c r="T399" i="2"/>
  <c r="T269" i="2"/>
  <c r="T265" i="2"/>
  <c r="T255" i="2"/>
  <c r="T91" i="2"/>
  <c r="T357" i="2"/>
  <c r="T73" i="2"/>
  <c r="T535" i="2"/>
  <c r="T384" i="2"/>
  <c r="T413" i="2"/>
  <c r="T368" i="2"/>
  <c r="T288" i="2"/>
  <c r="T289" i="2"/>
  <c r="T212" i="2"/>
  <c r="T246" i="2"/>
  <c r="T652" i="2"/>
  <c r="T377" i="2"/>
  <c r="T713" i="2"/>
  <c r="T557" i="2"/>
  <c r="T188" i="2"/>
  <c r="T571" i="2"/>
  <c r="T186" i="2"/>
  <c r="T337" i="2"/>
  <c r="T597" i="2"/>
  <c r="T421" i="2"/>
  <c r="T308" i="2"/>
  <c r="T307" i="2"/>
  <c r="T720" i="2"/>
  <c r="T411" i="2"/>
  <c r="T514" i="2"/>
  <c r="T516" i="2"/>
  <c r="T380" i="2"/>
  <c r="T332" i="2"/>
  <c r="T519" i="2"/>
  <c r="T435" i="2"/>
  <c r="T438" i="2"/>
  <c r="T439" i="2"/>
  <c r="T363" i="2"/>
  <c r="T477" i="2"/>
  <c r="T442" i="2"/>
  <c r="T415" i="2"/>
  <c r="T315" i="2"/>
  <c r="T62" i="2"/>
  <c r="T341" i="2"/>
  <c r="T172" i="2"/>
  <c r="T124" i="2"/>
  <c r="T5" i="2"/>
  <c r="T473" i="2"/>
  <c r="T270" i="2"/>
  <c r="T171" i="2"/>
  <c r="T271" i="2"/>
  <c r="T339" i="2"/>
  <c r="T456" i="2"/>
  <c r="T507" i="2"/>
  <c r="T634" i="2"/>
  <c r="T353" i="2"/>
  <c r="T694" i="2"/>
  <c r="T132" i="2"/>
  <c r="T18" i="2"/>
  <c r="T680" i="2"/>
  <c r="T505" i="2"/>
  <c r="T56" i="2"/>
  <c r="T272" i="2"/>
  <c r="T219" i="2"/>
  <c r="T464" i="2"/>
  <c r="T587" i="2"/>
  <c r="T660" i="2"/>
  <c r="T619" i="2"/>
  <c r="T662" i="2"/>
  <c r="T234" i="2"/>
  <c r="T319" i="2"/>
  <c r="T716" i="2"/>
  <c r="T231" i="2"/>
  <c r="T287" i="2"/>
  <c r="T303" i="2"/>
  <c r="T444" i="2"/>
  <c r="T227" i="2"/>
  <c r="T543" i="2"/>
  <c r="T558" i="2"/>
  <c r="T658" i="2"/>
  <c r="T664" i="2"/>
  <c r="T521" i="2"/>
  <c r="T696" i="2"/>
  <c r="T283" i="2"/>
  <c r="T487" i="2"/>
  <c r="T343" i="2"/>
  <c r="T164" i="2"/>
  <c r="T295" i="2"/>
  <c r="T187" i="2"/>
  <c r="T328" i="2"/>
  <c r="T329" i="2"/>
  <c r="T145" i="2"/>
  <c r="T113" i="2"/>
  <c r="T367" i="2"/>
  <c r="T352" i="2"/>
  <c r="T327" i="2"/>
  <c r="T158" i="2"/>
  <c r="T176" i="2"/>
  <c r="T316" i="2"/>
  <c r="T718" i="2"/>
  <c r="T279" i="2"/>
  <c r="T500" i="2"/>
  <c r="T644" i="2"/>
  <c r="T300" i="2"/>
  <c r="T193" i="2"/>
  <c r="T670" i="2"/>
  <c r="T185" i="2"/>
  <c r="T359" i="2"/>
  <c r="T397" i="2"/>
  <c r="T495" i="2"/>
  <c r="T698" i="2"/>
  <c r="T490" i="2"/>
  <c r="T475" i="2"/>
  <c r="T459" i="2"/>
  <c r="T356" i="2"/>
  <c r="T481" i="2"/>
  <c r="T461" i="2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2" i="1"/>
  <c r="G791" i="1"/>
  <c r="G790" i="1"/>
  <c r="G789" i="1"/>
  <c r="G788" i="1"/>
  <c r="G787" i="1"/>
  <c r="G786" i="1"/>
  <c r="G785" i="1"/>
  <c r="G784" i="1"/>
  <c r="G783" i="1"/>
  <c r="G782" i="1"/>
  <c r="G780" i="1"/>
  <c r="G779" i="1"/>
  <c r="G778" i="1"/>
  <c r="G777" i="1"/>
  <c r="G776" i="1"/>
  <c r="G775" i="1"/>
  <c r="G774" i="1"/>
  <c r="G773" i="1"/>
  <c r="G772" i="1"/>
  <c r="G771" i="1"/>
  <c r="G770" i="1"/>
  <c r="G768" i="1"/>
  <c r="G767" i="1"/>
  <c r="G766" i="1"/>
  <c r="G765" i="1"/>
  <c r="G764" i="1"/>
  <c r="G763" i="1"/>
  <c r="G762" i="1"/>
  <c r="G761" i="1"/>
  <c r="G760" i="1"/>
  <c r="G759" i="1"/>
  <c r="G758" i="1"/>
  <c r="G756" i="1"/>
  <c r="G755" i="1"/>
  <c r="G754" i="1"/>
  <c r="G753" i="1"/>
  <c r="G752" i="1"/>
  <c r="G751" i="1"/>
  <c r="G750" i="1"/>
  <c r="G749" i="1"/>
  <c r="G748" i="1"/>
  <c r="G747" i="1"/>
  <c r="G746" i="1"/>
  <c r="G744" i="1"/>
  <c r="G743" i="1"/>
  <c r="G742" i="1"/>
  <c r="G741" i="1"/>
  <c r="G740" i="1"/>
  <c r="G739" i="1"/>
  <c r="G738" i="1"/>
  <c r="G737" i="1"/>
  <c r="G736" i="1"/>
  <c r="G735" i="1"/>
  <c r="G734" i="1"/>
  <c r="G732" i="1"/>
  <c r="G731" i="1"/>
  <c r="G730" i="1"/>
  <c r="G729" i="1"/>
  <c r="G728" i="1"/>
  <c r="G727" i="1"/>
  <c r="G726" i="1"/>
  <c r="G725" i="1"/>
  <c r="G724" i="1"/>
  <c r="G723" i="1"/>
  <c r="G722" i="1"/>
  <c r="G720" i="1"/>
  <c r="G719" i="1"/>
  <c r="G718" i="1"/>
  <c r="G717" i="1"/>
  <c r="G716" i="1"/>
  <c r="G715" i="1"/>
  <c r="G714" i="1"/>
  <c r="G713" i="1"/>
  <c r="G712" i="1"/>
  <c r="G711" i="1"/>
  <c r="G710" i="1"/>
  <c r="G708" i="1"/>
  <c r="G707" i="1"/>
  <c r="G706" i="1"/>
  <c r="G705" i="1"/>
  <c r="G704" i="1"/>
  <c r="G703" i="1"/>
  <c r="G702" i="1"/>
  <c r="G701" i="1"/>
  <c r="G700" i="1"/>
  <c r="G699" i="1"/>
  <c r="G698" i="1"/>
  <c r="G696" i="1"/>
  <c r="G695" i="1"/>
  <c r="G694" i="1"/>
  <c r="G693" i="1"/>
  <c r="G692" i="1"/>
  <c r="G691" i="1"/>
  <c r="G690" i="1"/>
  <c r="G689" i="1"/>
  <c r="G688" i="1"/>
  <c r="G687" i="1"/>
  <c r="G686" i="1"/>
  <c r="G684" i="1"/>
  <c r="G683" i="1"/>
  <c r="G682" i="1"/>
  <c r="G681" i="1"/>
  <c r="G680" i="1"/>
  <c r="G679" i="1"/>
  <c r="G678" i="1"/>
  <c r="G677" i="1"/>
  <c r="G676" i="1"/>
  <c r="G675" i="1"/>
  <c r="G674" i="1"/>
  <c r="G672" i="1"/>
  <c r="G671" i="1"/>
  <c r="G670" i="1"/>
  <c r="G669" i="1"/>
  <c r="G668" i="1"/>
  <c r="G667" i="1"/>
  <c r="G666" i="1"/>
  <c r="G665" i="1"/>
  <c r="G664" i="1"/>
  <c r="G663" i="1"/>
  <c r="G662" i="1"/>
  <c r="G660" i="1"/>
  <c r="G659" i="1"/>
  <c r="G658" i="1"/>
  <c r="G657" i="1"/>
  <c r="G656" i="1"/>
  <c r="G655" i="1"/>
  <c r="G654" i="1"/>
  <c r="G653" i="1"/>
  <c r="G652" i="1"/>
  <c r="G651" i="1"/>
  <c r="G650" i="1"/>
  <c r="G648" i="1"/>
  <c r="G647" i="1"/>
  <c r="G646" i="1"/>
  <c r="G645" i="1"/>
  <c r="G644" i="1"/>
  <c r="G643" i="1"/>
  <c r="G642" i="1"/>
  <c r="G641" i="1"/>
  <c r="G640" i="1"/>
  <c r="G639" i="1"/>
  <c r="G638" i="1"/>
  <c r="G636" i="1"/>
  <c r="G635" i="1"/>
  <c r="G634" i="1"/>
  <c r="G633" i="1"/>
  <c r="G632" i="1"/>
  <c r="G631" i="1"/>
  <c r="G630" i="1"/>
  <c r="G629" i="1"/>
  <c r="G628" i="1"/>
  <c r="G627" i="1"/>
  <c r="G626" i="1"/>
  <c r="G624" i="1"/>
  <c r="G623" i="1"/>
  <c r="G622" i="1"/>
  <c r="G621" i="1"/>
  <c r="G620" i="1"/>
  <c r="G619" i="1"/>
  <c r="G618" i="1"/>
  <c r="G617" i="1"/>
  <c r="G616" i="1"/>
  <c r="G615" i="1"/>
  <c r="G614" i="1"/>
  <c r="G612" i="1"/>
  <c r="G611" i="1"/>
  <c r="G610" i="1"/>
  <c r="G609" i="1"/>
  <c r="G608" i="1"/>
  <c r="G607" i="1"/>
  <c r="G606" i="1"/>
  <c r="G605" i="1"/>
  <c r="G604" i="1"/>
  <c r="G603" i="1"/>
  <c r="G602" i="1"/>
  <c r="G600" i="1"/>
  <c r="G599" i="1"/>
  <c r="G598" i="1"/>
  <c r="G597" i="1"/>
  <c r="G596" i="1"/>
  <c r="G595" i="1"/>
  <c r="G594" i="1"/>
  <c r="G593" i="1"/>
  <c r="G592" i="1"/>
  <c r="G591" i="1"/>
  <c r="G590" i="1"/>
  <c r="G588" i="1"/>
  <c r="G587" i="1"/>
  <c r="G586" i="1"/>
  <c r="G585" i="1"/>
  <c r="G584" i="1"/>
  <c r="G583" i="1"/>
  <c r="G582" i="1"/>
  <c r="G581" i="1"/>
  <c r="G580" i="1"/>
  <c r="G579" i="1"/>
  <c r="G578" i="1"/>
  <c r="G576" i="1"/>
  <c r="G575" i="1"/>
  <c r="G574" i="1"/>
  <c r="G573" i="1"/>
  <c r="G572" i="1"/>
  <c r="G571" i="1"/>
  <c r="G570" i="1"/>
  <c r="G569" i="1"/>
  <c r="G568" i="1"/>
  <c r="G567" i="1"/>
  <c r="G566" i="1"/>
  <c r="G564" i="1"/>
  <c r="G563" i="1"/>
  <c r="G562" i="1"/>
  <c r="G561" i="1"/>
  <c r="G560" i="1"/>
  <c r="G559" i="1"/>
  <c r="G558" i="1"/>
  <c r="G557" i="1"/>
  <c r="G556" i="1"/>
  <c r="G555" i="1"/>
  <c r="G554" i="1"/>
  <c r="G552" i="1"/>
  <c r="G551" i="1"/>
  <c r="G550" i="1"/>
  <c r="G549" i="1"/>
  <c r="G548" i="1"/>
  <c r="G547" i="1"/>
  <c r="G546" i="1"/>
  <c r="G545" i="1"/>
  <c r="G544" i="1"/>
  <c r="G543" i="1"/>
  <c r="G542" i="1"/>
  <c r="G540" i="1"/>
  <c r="G539" i="1"/>
  <c r="G538" i="1"/>
  <c r="G537" i="1"/>
  <c r="G536" i="1"/>
  <c r="G535" i="1"/>
  <c r="G534" i="1"/>
  <c r="G533" i="1"/>
  <c r="G532" i="1"/>
  <c r="G531" i="1"/>
  <c r="G530" i="1"/>
  <c r="G528" i="1"/>
  <c r="G527" i="1"/>
  <c r="G526" i="1"/>
  <c r="G525" i="1"/>
  <c r="G524" i="1"/>
  <c r="G523" i="1"/>
  <c r="G522" i="1"/>
  <c r="G521" i="1"/>
  <c r="G520" i="1"/>
  <c r="G519" i="1"/>
  <c r="G518" i="1"/>
  <c r="G516" i="1"/>
  <c r="G515" i="1"/>
  <c r="G514" i="1"/>
  <c r="G513" i="1"/>
  <c r="G512" i="1"/>
  <c r="G511" i="1"/>
  <c r="G510" i="1"/>
  <c r="G509" i="1"/>
  <c r="G508" i="1"/>
  <c r="G507" i="1"/>
  <c r="G506" i="1"/>
  <c r="G504" i="1"/>
  <c r="G503" i="1"/>
  <c r="G502" i="1"/>
  <c r="G501" i="1"/>
  <c r="G500" i="1"/>
  <c r="G499" i="1"/>
  <c r="G498" i="1"/>
  <c r="G497" i="1"/>
  <c r="G496" i="1"/>
  <c r="G495" i="1"/>
  <c r="G494" i="1"/>
  <c r="G492" i="1"/>
  <c r="G491" i="1"/>
  <c r="G490" i="1"/>
  <c r="G489" i="1"/>
  <c r="G488" i="1"/>
  <c r="G487" i="1"/>
  <c r="G486" i="1"/>
  <c r="G485" i="1"/>
  <c r="G484" i="1"/>
  <c r="G483" i="1"/>
  <c r="G482" i="1"/>
  <c r="G480" i="1"/>
  <c r="G479" i="1"/>
  <c r="G478" i="1"/>
  <c r="G477" i="1"/>
  <c r="G476" i="1"/>
  <c r="G475" i="1"/>
  <c r="G474" i="1"/>
  <c r="G473" i="1"/>
  <c r="G472" i="1"/>
  <c r="G471" i="1"/>
  <c r="G470" i="1"/>
  <c r="G468" i="1"/>
  <c r="G467" i="1"/>
  <c r="G466" i="1"/>
  <c r="G465" i="1"/>
  <c r="G464" i="1"/>
  <c r="G463" i="1"/>
  <c r="G462" i="1"/>
  <c r="G461" i="1"/>
  <c r="G460" i="1"/>
  <c r="G459" i="1"/>
  <c r="G458" i="1"/>
  <c r="G456" i="1"/>
  <c r="G455" i="1"/>
  <c r="G454" i="1"/>
  <c r="G453" i="1"/>
  <c r="G452" i="1"/>
  <c r="G451" i="1"/>
  <c r="G450" i="1"/>
  <c r="G449" i="1"/>
  <c r="G448" i="1"/>
  <c r="G447" i="1"/>
  <c r="G446" i="1"/>
  <c r="G444" i="1"/>
  <c r="G443" i="1"/>
  <c r="G442" i="1"/>
  <c r="G441" i="1"/>
  <c r="G440" i="1"/>
  <c r="G439" i="1"/>
  <c r="G438" i="1"/>
  <c r="G437" i="1"/>
  <c r="G436" i="1"/>
  <c r="G435" i="1"/>
  <c r="G434" i="1"/>
  <c r="G432" i="1"/>
  <c r="G431" i="1"/>
  <c r="G430" i="1"/>
  <c r="G429" i="1"/>
  <c r="G428" i="1"/>
  <c r="G427" i="1"/>
  <c r="G426" i="1"/>
  <c r="G425" i="1"/>
  <c r="G424" i="1"/>
  <c r="G423" i="1"/>
  <c r="G422" i="1"/>
  <c r="G420" i="1"/>
  <c r="G419" i="1"/>
  <c r="G418" i="1"/>
  <c r="G417" i="1"/>
  <c r="G416" i="1"/>
  <c r="G415" i="1"/>
  <c r="G414" i="1"/>
  <c r="G413" i="1"/>
  <c r="G412" i="1"/>
  <c r="G411" i="1"/>
  <c r="G410" i="1"/>
  <c r="G408" i="1"/>
  <c r="G407" i="1"/>
  <c r="G406" i="1"/>
  <c r="G405" i="1"/>
  <c r="G404" i="1"/>
  <c r="G403" i="1"/>
  <c r="G402" i="1"/>
  <c r="G401" i="1"/>
  <c r="G400" i="1"/>
  <c r="G399" i="1"/>
  <c r="G398" i="1"/>
  <c r="G396" i="1"/>
  <c r="G395" i="1"/>
  <c r="G394" i="1"/>
  <c r="G393" i="1"/>
  <c r="G392" i="1"/>
  <c r="G391" i="1"/>
  <c r="G390" i="1"/>
  <c r="G389" i="1"/>
  <c r="G388" i="1"/>
  <c r="G387" i="1"/>
  <c r="G386" i="1"/>
  <c r="G384" i="1"/>
  <c r="G383" i="1"/>
  <c r="G382" i="1"/>
  <c r="G381" i="1"/>
  <c r="G380" i="1"/>
  <c r="G379" i="1"/>
  <c r="G378" i="1"/>
  <c r="G377" i="1"/>
  <c r="G376" i="1"/>
  <c r="G375" i="1"/>
  <c r="G374" i="1"/>
  <c r="G372" i="1"/>
  <c r="G371" i="1"/>
  <c r="G370" i="1"/>
  <c r="G369" i="1"/>
  <c r="G368" i="1"/>
  <c r="G367" i="1"/>
  <c r="G366" i="1"/>
  <c r="G365" i="1"/>
  <c r="G364" i="1"/>
  <c r="G363" i="1"/>
  <c r="G362" i="1"/>
  <c r="G360" i="1"/>
  <c r="G359" i="1"/>
  <c r="G358" i="1"/>
  <c r="G357" i="1"/>
  <c r="G356" i="1"/>
  <c r="G355" i="1"/>
  <c r="G354" i="1"/>
  <c r="G353" i="1"/>
  <c r="G352" i="1"/>
  <c r="G351" i="1"/>
  <c r="G350" i="1"/>
  <c r="G348" i="1"/>
  <c r="G347" i="1"/>
  <c r="G346" i="1"/>
  <c r="G345" i="1"/>
  <c r="G344" i="1"/>
  <c r="G343" i="1"/>
  <c r="G342" i="1"/>
  <c r="G341" i="1"/>
  <c r="G340" i="1"/>
  <c r="G339" i="1"/>
  <c r="G338" i="1"/>
  <c r="G336" i="1"/>
  <c r="G335" i="1"/>
  <c r="G334" i="1"/>
  <c r="G333" i="1"/>
  <c r="G332" i="1"/>
  <c r="G331" i="1"/>
  <c r="G330" i="1"/>
  <c r="G329" i="1"/>
  <c r="G328" i="1"/>
  <c r="G327" i="1"/>
  <c r="G326" i="1"/>
  <c r="G324" i="1"/>
  <c r="G323" i="1"/>
  <c r="G322" i="1"/>
  <c r="G321" i="1"/>
  <c r="G320" i="1"/>
  <c r="G319" i="1"/>
  <c r="G318" i="1"/>
  <c r="G317" i="1"/>
  <c r="G316" i="1"/>
  <c r="G315" i="1"/>
  <c r="G314" i="1"/>
  <c r="G312" i="1"/>
  <c r="G311" i="1"/>
  <c r="G310" i="1"/>
  <c r="G309" i="1"/>
  <c r="G308" i="1"/>
  <c r="G307" i="1"/>
  <c r="G306" i="1"/>
  <c r="G305" i="1"/>
  <c r="G304" i="1"/>
  <c r="G303" i="1"/>
  <c r="G302" i="1"/>
  <c r="G300" i="1"/>
  <c r="G299" i="1"/>
  <c r="G298" i="1"/>
  <c r="G297" i="1"/>
  <c r="G296" i="1"/>
  <c r="G295" i="1"/>
  <c r="G294" i="1"/>
  <c r="G293" i="1"/>
  <c r="G292" i="1"/>
  <c r="G291" i="1"/>
  <c r="G290" i="1"/>
  <c r="G288" i="1"/>
  <c r="G287" i="1"/>
  <c r="G286" i="1"/>
  <c r="G285" i="1"/>
  <c r="G284" i="1"/>
  <c r="G283" i="1"/>
  <c r="G282" i="1"/>
  <c r="G281" i="1"/>
  <c r="G280" i="1"/>
  <c r="G279" i="1"/>
  <c r="G278" i="1"/>
  <c r="G276" i="1"/>
  <c r="G275" i="1"/>
  <c r="G274" i="1"/>
  <c r="G273" i="1"/>
  <c r="G272" i="1"/>
  <c r="G271" i="1"/>
  <c r="G270" i="1"/>
  <c r="G269" i="1"/>
  <c r="G268" i="1"/>
  <c r="G267" i="1"/>
  <c r="G266" i="1"/>
  <c r="G264" i="1"/>
  <c r="G263" i="1"/>
  <c r="G262" i="1"/>
  <c r="G261" i="1"/>
  <c r="G260" i="1"/>
  <c r="G259" i="1"/>
  <c r="G258" i="1"/>
  <c r="G257" i="1"/>
  <c r="G256" i="1"/>
  <c r="G255" i="1"/>
  <c r="G254" i="1"/>
  <c r="G252" i="1"/>
  <c r="G251" i="1"/>
  <c r="G250" i="1"/>
  <c r="G249" i="1"/>
  <c r="G248" i="1"/>
  <c r="G247" i="1"/>
  <c r="G246" i="1"/>
  <c r="G245" i="1"/>
  <c r="G244" i="1"/>
  <c r="G243" i="1"/>
  <c r="G242" i="1"/>
  <c r="G240" i="1"/>
  <c r="G239" i="1"/>
  <c r="G238" i="1"/>
  <c r="G237" i="1"/>
  <c r="G236" i="1"/>
  <c r="G235" i="1"/>
  <c r="G234" i="1"/>
  <c r="G233" i="1"/>
  <c r="G232" i="1"/>
  <c r="G231" i="1"/>
  <c r="G230" i="1"/>
  <c r="G228" i="1"/>
  <c r="G227" i="1"/>
  <c r="G226" i="1"/>
  <c r="G225" i="1"/>
  <c r="G224" i="1"/>
  <c r="G223" i="1"/>
  <c r="G222" i="1"/>
  <c r="G221" i="1"/>
  <c r="G220" i="1"/>
  <c r="G219" i="1"/>
  <c r="G218" i="1"/>
  <c r="G216" i="1"/>
  <c r="G215" i="1"/>
  <c r="G214" i="1"/>
  <c r="G213" i="1"/>
  <c r="G212" i="1"/>
  <c r="G211" i="1"/>
  <c r="G210" i="1"/>
  <c r="G209" i="1"/>
  <c r="G208" i="1"/>
  <c r="G207" i="1"/>
  <c r="G206" i="1"/>
  <c r="G204" i="1"/>
  <c r="G203" i="1"/>
  <c r="G202" i="1"/>
  <c r="G201" i="1"/>
  <c r="G200" i="1"/>
  <c r="G199" i="1"/>
  <c r="G198" i="1"/>
  <c r="G197" i="1"/>
  <c r="G196" i="1"/>
  <c r="G195" i="1"/>
  <c r="G194" i="1"/>
  <c r="G192" i="1"/>
  <c r="G191" i="1"/>
  <c r="G190" i="1"/>
  <c r="G189" i="1"/>
  <c r="G188" i="1"/>
  <c r="G187" i="1"/>
  <c r="G186" i="1"/>
  <c r="G185" i="1"/>
  <c r="G184" i="1"/>
  <c r="G183" i="1"/>
  <c r="G182" i="1"/>
  <c r="G180" i="1"/>
  <c r="G179" i="1"/>
  <c r="G178" i="1"/>
  <c r="G177" i="1"/>
  <c r="G176" i="1"/>
  <c r="G175" i="1"/>
  <c r="G174" i="1"/>
  <c r="G173" i="1"/>
  <c r="G172" i="1"/>
  <c r="G171" i="1"/>
  <c r="G170" i="1"/>
  <c r="G168" i="1"/>
  <c r="G167" i="1"/>
  <c r="G166" i="1"/>
  <c r="G165" i="1"/>
  <c r="G164" i="1"/>
  <c r="G163" i="1"/>
  <c r="G162" i="1"/>
  <c r="G161" i="1"/>
  <c r="G160" i="1"/>
  <c r="G159" i="1"/>
  <c r="G158" i="1"/>
  <c r="G156" i="1"/>
  <c r="G155" i="1"/>
  <c r="G154" i="1"/>
  <c r="G153" i="1"/>
  <c r="G152" i="1"/>
  <c r="G151" i="1"/>
  <c r="G150" i="1"/>
  <c r="G149" i="1"/>
  <c r="G148" i="1"/>
  <c r="G147" i="1"/>
  <c r="G146" i="1"/>
  <c r="G144" i="1"/>
  <c r="G143" i="1"/>
  <c r="G142" i="1"/>
  <c r="G141" i="1"/>
  <c r="G140" i="1"/>
  <c r="G139" i="1"/>
  <c r="G138" i="1"/>
  <c r="G137" i="1"/>
  <c r="G136" i="1"/>
  <c r="G135" i="1"/>
  <c r="G134" i="1"/>
  <c r="G132" i="1"/>
  <c r="G131" i="1"/>
  <c r="G130" i="1"/>
  <c r="G129" i="1"/>
  <c r="G128" i="1"/>
  <c r="G127" i="1"/>
  <c r="G126" i="1"/>
  <c r="G125" i="1"/>
  <c r="G124" i="1"/>
  <c r="G123" i="1"/>
  <c r="G122" i="1"/>
  <c r="G120" i="1"/>
  <c r="G119" i="1"/>
  <c r="G118" i="1"/>
  <c r="G117" i="1"/>
  <c r="G116" i="1"/>
  <c r="G115" i="1"/>
  <c r="G114" i="1"/>
  <c r="G113" i="1"/>
  <c r="G112" i="1"/>
  <c r="G111" i="1"/>
  <c r="G110" i="1"/>
  <c r="G108" i="1"/>
  <c r="G107" i="1"/>
  <c r="G106" i="1"/>
  <c r="G105" i="1"/>
  <c r="G104" i="1"/>
  <c r="G103" i="1"/>
  <c r="G102" i="1"/>
  <c r="G101" i="1"/>
  <c r="G100" i="1"/>
  <c r="G99" i="1"/>
  <c r="G98" i="1"/>
  <c r="G96" i="1"/>
  <c r="G95" i="1"/>
  <c r="G94" i="1"/>
  <c r="G93" i="1"/>
  <c r="G92" i="1"/>
  <c r="G91" i="1"/>
  <c r="G90" i="1"/>
  <c r="G89" i="1"/>
  <c r="G88" i="1"/>
  <c r="G87" i="1"/>
  <c r="G86" i="1"/>
  <c r="G84" i="1"/>
  <c r="G83" i="1"/>
  <c r="G82" i="1"/>
  <c r="G81" i="1"/>
  <c r="G80" i="1"/>
  <c r="G79" i="1"/>
  <c r="G78" i="1"/>
  <c r="G77" i="1"/>
  <c r="G76" i="1"/>
  <c r="G75" i="1"/>
  <c r="G74" i="1"/>
  <c r="G72" i="1"/>
  <c r="G71" i="1"/>
  <c r="G70" i="1"/>
  <c r="G69" i="1"/>
  <c r="G68" i="1"/>
  <c r="G67" i="1"/>
  <c r="G66" i="1"/>
  <c r="G65" i="1"/>
  <c r="G64" i="1"/>
  <c r="G63" i="1"/>
  <c r="G62" i="1"/>
  <c r="G60" i="1"/>
  <c r="G59" i="1"/>
  <c r="G58" i="1"/>
  <c r="G57" i="1"/>
  <c r="G56" i="1"/>
  <c r="G55" i="1"/>
  <c r="G54" i="1"/>
  <c r="G53" i="1"/>
  <c r="G52" i="1"/>
  <c r="G51" i="1"/>
  <c r="G50" i="1"/>
  <c r="G48" i="1"/>
  <c r="G47" i="1"/>
  <c r="G46" i="1"/>
  <c r="G45" i="1"/>
  <c r="G44" i="1"/>
  <c r="G43" i="1"/>
  <c r="G42" i="1"/>
  <c r="G41" i="1"/>
  <c r="G40" i="1"/>
  <c r="G39" i="1"/>
  <c r="G38" i="1"/>
  <c r="G36" i="1"/>
  <c r="G35" i="1"/>
  <c r="G34" i="1"/>
  <c r="G33" i="1"/>
  <c r="G32" i="1"/>
  <c r="G31" i="1"/>
  <c r="G30" i="1"/>
  <c r="G29" i="1"/>
  <c r="G28" i="1"/>
  <c r="G27" i="1"/>
  <c r="G26" i="1"/>
  <c r="G24" i="1"/>
  <c r="G23" i="1"/>
  <c r="G22" i="1"/>
  <c r="G21" i="1"/>
  <c r="G20" i="1"/>
  <c r="G19" i="1"/>
  <c r="G18" i="1"/>
  <c r="G17" i="1"/>
  <c r="G16" i="1"/>
  <c r="G15" i="1"/>
  <c r="G14" i="1"/>
  <c r="G12" i="1"/>
  <c r="G11" i="1"/>
  <c r="G10" i="1"/>
  <c r="G9" i="1"/>
  <c r="G8" i="1"/>
  <c r="G7" i="1"/>
  <c r="G6" i="1"/>
  <c r="G5" i="1"/>
  <c r="G4" i="1"/>
  <c r="G3" i="1"/>
  <c r="G2" i="1"/>
  <c r="G1" i="1"/>
</calcChain>
</file>

<file path=xl/sharedStrings.xml><?xml version="1.0" encoding="utf-8"?>
<sst xmlns="http://schemas.openxmlformats.org/spreadsheetml/2006/main" count="11123" uniqueCount="2626">
  <si>
    <t>TL</t>
  </si>
  <si>
    <t>FIRIN AKEL AF007B YUVARLAK BÜYÜK</t>
  </si>
  <si>
    <t>FIRIN AKEL AF010 YUVARLAK</t>
  </si>
  <si>
    <t>FIRIN AKEL AF140 DÖNERLİ</t>
  </si>
  <si>
    <t>TOST MAKİNESİ AKSU GRANİT GRİLL</t>
  </si>
  <si>
    <t>TOST MAKİNESİ AKSU GROSS</t>
  </si>
  <si>
    <t>TOST MAKİNESİ AKSU GUSTO</t>
  </si>
  <si>
    <t>TOST MAKİNESİ AKSU KENGRİLL</t>
  </si>
  <si>
    <t>TOST MAKİNESİ AKSU TOSTADOY GRANİT</t>
  </si>
  <si>
    <t>WAFFLE MAKİNESİ AKSU</t>
  </si>
  <si>
    <t>ŞOFBEN ALERSO ELEKTRİKLİ</t>
  </si>
  <si>
    <t>ALTINBOĞA KİLİTLİ METAL DEDANTÖR 8MM</t>
  </si>
  <si>
    <t>ALYANS 2 Lİ OCAK LPG</t>
  </si>
  <si>
    <t>ALYANS 2 Lİ OCAK DOĞALGAZ</t>
  </si>
  <si>
    <t>ALYANS 3 LÜ OCAK DOĞALGAZLI</t>
  </si>
  <si>
    <t>ALYANS 3 LÜ OCAK LPG</t>
  </si>
  <si>
    <t>ALYANS 4 LÜ OCAK DOĞALGAZLI BEYAZ</t>
  </si>
  <si>
    <t>ALYANS 4 LÜ OCAK DOĞALGAZLI SİYAH</t>
  </si>
  <si>
    <t>ALYANS 4 LÜ OCAK LPG BEYAZ</t>
  </si>
  <si>
    <t>ALYANS 4 LÜ OCAK LPG SİYAH</t>
  </si>
  <si>
    <t>ALYANS TEKLİ OCAK</t>
  </si>
  <si>
    <t>MİKRODALGA FIRIN ARÇELİK GRİ</t>
  </si>
  <si>
    <t>MİKRODALGA FIRIN ARÇELİK SİYAH</t>
  </si>
  <si>
    <t>ARI 3 LÜ OCAK LPG</t>
  </si>
  <si>
    <t>SEMAVER ARMAĞAN 100 BARDAK</t>
  </si>
  <si>
    <t>ARNEL 4'LÜ FFD ÇAKMAKLI DG</t>
  </si>
  <si>
    <t>ARNEL 4'LÜ FFD ÇAKMALI LPG</t>
  </si>
  <si>
    <t>TOST MAKİNESİ ARNİCA AYVALIK</t>
  </si>
  <si>
    <t>BLENDER SET ARNİCA DİVA PRO</t>
  </si>
  <si>
    <t>BLENDER SET ARNİCA DİVA TRENDY</t>
  </si>
  <si>
    <t>MEYVE SIKACAĞI ARNİCA EKOVİTA PLUS KATI</t>
  </si>
  <si>
    <t>KAHVE MAKİNESİ ARNİCA KÖPÜKLÜ OTOMATİK</t>
  </si>
  <si>
    <t>SÜPÜRGE ARNİCA LOTUS TOZ TORBALI</t>
  </si>
  <si>
    <t>SÜPÜRGE ARNİCA MİLA TOZ TORBASIZ 14441</t>
  </si>
  <si>
    <t>MUTFAK ROBOTU ARNİCA PROKİT 444 MİNİ</t>
  </si>
  <si>
    <t>MUTFAK ROBOTU ARNİCA PROKİT 444 PLUS</t>
  </si>
  <si>
    <t>RONDO ARNİCA RAPİD MİNİ</t>
  </si>
  <si>
    <t>RONDO ARNİCA RAPİD PLUS</t>
  </si>
  <si>
    <t>RONDO ARNİCA RAPİD PRO</t>
  </si>
  <si>
    <t>SÜPÜRGE ARNİCA TAYFUN ISLAK KURU</t>
  </si>
  <si>
    <t>SÜPÜRGE ARNİCA TESLA PREMİUM TORBASIZ ET14300</t>
  </si>
  <si>
    <t>SÜPÜRGE ARNİCA TESLA TOZ TORBASIZ ET14310</t>
  </si>
  <si>
    <t>SÜT MAKİNESİ ASYA 100 LT ELEKTRİKLİ</t>
  </si>
  <si>
    <t>SÜT MAKİNESİ ASYA 100 LÜK KOLLU</t>
  </si>
  <si>
    <t>SÜT MAKİNESİ ASYA 140 LT ELEKTRİKLİ</t>
  </si>
  <si>
    <t>SÜT MAKİNESİ ASYA 140 LIK KOLLU</t>
  </si>
  <si>
    <t>SÜT MAKİNESİ ASYA 85 LİK KOLLU</t>
  </si>
  <si>
    <t>TOST MAKİNESİ AWOX - LİDER</t>
  </si>
  <si>
    <t>YEMEK TAKIMI BAMBUM 24 PARÇA</t>
  </si>
  <si>
    <t>EPİLATÖR BRAUN 1170</t>
  </si>
  <si>
    <t>EPİLATÖR BRAUN SİLK EPİL 3 3170</t>
  </si>
  <si>
    <t>EPİLATÖR BRAUN SİLK EPİL 3 3420</t>
  </si>
  <si>
    <t>KETTLE CONTİ AQUA ÇELİK</t>
  </si>
  <si>
    <t>KETTLE CONTİ ÇELİK KETTLE AQUA RED</t>
  </si>
  <si>
    <t>KETTLE CONTİ KRİSTAL ÇELİK KETTLE</t>
  </si>
  <si>
    <t>TOST MAKİNESİ CONTİ MAESTRO CG-210</t>
  </si>
  <si>
    <t>SÜPÜRGE CONTİ STARLİFE KABLO SARMALI</t>
  </si>
  <si>
    <t>SAÇ MAŞA VE ŞEKİLLENDİRİCİ CONTİ TWİNY</t>
  </si>
  <si>
    <t>TERMOS COOKER 1,3 LT RENKLİ CAM</t>
  </si>
  <si>
    <t>UFO CVS (2500W)</t>
  </si>
  <si>
    <t>BARBEKÜ CVS ALEVLİ</t>
  </si>
  <si>
    <t>MİKSER CVS HANDMİX EL MİKSERİ</t>
  </si>
  <si>
    <t>IZGARA CVS KEBAPÇI ELEKTRİKLİ</t>
  </si>
  <si>
    <t>BLENDER SET CVS MONOPLUS</t>
  </si>
  <si>
    <t>ANKASTRE SET CVS SİYAH CAM</t>
  </si>
  <si>
    <t>FIRIN CVS TOPRAK YUVARLAK</t>
  </si>
  <si>
    <t>MİKRODALGA FIRIN DİJİTSU MD10 BEYAZ</t>
  </si>
  <si>
    <t>MİKRODALGA FIRIN DİJİTSU MD25 SİYAH</t>
  </si>
  <si>
    <t>EUROLİNE 4 LÜ OCAK</t>
  </si>
  <si>
    <t>SAÇ KESME MAKİNESİ FAKİR BOSSY</t>
  </si>
  <si>
    <t>ŞOFBEN FAKİR CALENTA ELEKTRİKLİ</t>
  </si>
  <si>
    <t>SAÇ MAŞASI FAKİR ESTELLE</t>
  </si>
  <si>
    <t>SAÇ KURUTMA MAKİNESİ FAKİR GLORİA</t>
  </si>
  <si>
    <t>SAÇ DÜZLEŞTİCİ FAKİR HARVEY</t>
  </si>
  <si>
    <t>SAÇ MAŞASI FAKİR HİEDRA</t>
  </si>
  <si>
    <t>HAMUR KARMA FAKİR MİXCHEF MUTFAK ŞEFİ</t>
  </si>
  <si>
    <t>SAÇ KURUTMA MAKİNESİ FAKİR NOBLE</t>
  </si>
  <si>
    <t>BASKÜL FAKİR NORA CAM</t>
  </si>
  <si>
    <t>SAÇ KURUTMA MAKİNESİ FAKİR BRİSE</t>
  </si>
  <si>
    <t>SAÇ KURUTMA MAKİNESİ FAKİR ANGELİCA</t>
  </si>
  <si>
    <t>SAÇ KURUTMA MAKİNESİ FAKİR NORTE</t>
  </si>
  <si>
    <t>SÜPÜRGE FAKİR RANGER ELECTRONİK</t>
  </si>
  <si>
    <t>SÜPÜRGE FAKİR VEYRON PRO</t>
  </si>
  <si>
    <t>BLENDER FAKİR TRİNİTY 3 LÜ SET</t>
  </si>
  <si>
    <t>ÜTÜ FAKİR FLYJET</t>
  </si>
  <si>
    <t>ÜTÜ FAKİR GALAXİS 2200W</t>
  </si>
  <si>
    <t>ÜTÜ FAKİR SPRİNG GÜL KURUSU</t>
  </si>
  <si>
    <t>ÜTÜ FAKİR VETACARE BUHAR JENARATÖRLÜ</t>
  </si>
  <si>
    <t>SÜPÜRGE FANTOM 2700 ISLAK KURU</t>
  </si>
  <si>
    <t>SÜPÜRGE FANTOM ECO WD 2750-S</t>
  </si>
  <si>
    <t xml:space="preserve">FEMAŞ 2 Lİ LPG OCAK </t>
  </si>
  <si>
    <t xml:space="preserve">FEMAŞ 3 LÜ LPG OCAK </t>
  </si>
  <si>
    <t>FEMAŞ 4 LÜ LPG OCAK</t>
  </si>
  <si>
    <t>FERRE 4 LÜ SET ÜSTÜ OCAK LPG</t>
  </si>
  <si>
    <t>ANKASTRE SET FERRE GRANDE SİYAH</t>
  </si>
  <si>
    <t>ANKASTRE SET FERRE HAVAİ SİYAH</t>
  </si>
  <si>
    <t>ANKASTRE SET FERRE LİZBON SİYAH</t>
  </si>
  <si>
    <t>SÜPÜRGE FISHER NUVO SULU</t>
  </si>
  <si>
    <t>SÜPÜRGE FISCHER RU-205 ISLAK KURU</t>
  </si>
  <si>
    <t>ÜTÜ GOLDMASTER 7613 MAXİPRESS</t>
  </si>
  <si>
    <t>ÜTÜ GOLDMASTER 7615 VALS</t>
  </si>
  <si>
    <t>ÜTÜ GOLDMASTER 7618 AİRJET</t>
  </si>
  <si>
    <t>ASKI APARATI HOOK 32"</t>
  </si>
  <si>
    <t>UFO HOOK BLAZE DİK</t>
  </si>
  <si>
    <t>ASKI APARATI HOOK KOLLU</t>
  </si>
  <si>
    <t>ASKI APARATI HOOK TAVAN 27-37''</t>
  </si>
  <si>
    <t>ASKI APARATI HOOK TAVAN 38-50''</t>
  </si>
  <si>
    <t>KETTLE HOOK TROYA</t>
  </si>
  <si>
    <t>SEMAVER İMZA 120 BARDAK</t>
  </si>
  <si>
    <t>SEMAVER İMZA 160 BARDAK</t>
  </si>
  <si>
    <t>SEMAVER İMZA 250 BARDAK</t>
  </si>
  <si>
    <t>SEMAVER İMZA 30 BARDAK</t>
  </si>
  <si>
    <t>SEMAVER İMZA 350 BARDAK</t>
  </si>
  <si>
    <t>SEMAVER İMZA 50 BARDAK</t>
  </si>
  <si>
    <t>SEMAVER İMZA 80 BARDAK</t>
  </si>
  <si>
    <t>SEMAVER KAPLANLI 160 BARDAK</t>
  </si>
  <si>
    <t>SEMAVER KAPLANLI 250 BARDAK</t>
  </si>
  <si>
    <t>SEMAVER KAPLANLI 40 BARDAK</t>
  </si>
  <si>
    <t>SEMAVER KAPLANLI 60 BARDAK</t>
  </si>
  <si>
    <t>SEMAVER KAPLANLI 80 BARDAK</t>
  </si>
  <si>
    <t>SAÇ KURUTMA MAKİNESİ KİNG LİNNA</t>
  </si>
  <si>
    <t xml:space="preserve">LAVİCCO 2 'Lİ EMNİYETLİ OCAK </t>
  </si>
  <si>
    <t>KATMER SACI LAVİCCO</t>
  </si>
  <si>
    <t>TOST MAKİNESİ LİDER SAVİO LT-15</t>
  </si>
  <si>
    <t xml:space="preserve">LİMİTED VANALI DEDANTÖR </t>
  </si>
  <si>
    <t>YAĞLI RADYATÖR MARSSTAR 11 DİLİM FANLI</t>
  </si>
  <si>
    <t>ASPİRATÖR MAXİMUS</t>
  </si>
  <si>
    <t>MEDD KAMP OCAK İPRA</t>
  </si>
  <si>
    <t>ASPİRATÖR MİKROLİNE</t>
  </si>
  <si>
    <t>MİNİSAN (3+1) PLEYTLİ OCAK ÜSTTEN DÜĞMELİ</t>
  </si>
  <si>
    <t>YAYIK MİNİSAN 10 LT KAYMAKÇI</t>
  </si>
  <si>
    <t>YAYIK MİNİSAN 15 LT YUVARLAK</t>
  </si>
  <si>
    <t>UFO MİNİSAN 2000W UFO</t>
  </si>
  <si>
    <t>FIRIN MİNİSAN 2002 45 LT KÖŞELİ</t>
  </si>
  <si>
    <t>YAYIK MİNİSAN 25 LT YUVARLAK</t>
  </si>
  <si>
    <t>UFO MİNİSAN 2600W</t>
  </si>
  <si>
    <t>MİNİSAN 3+1 PLEYTLİ ÇAKMAKLI KLASİK OCAK</t>
  </si>
  <si>
    <t>UFO MİNİSAN 3000W</t>
  </si>
  <si>
    <t>YAYIK MİNİSAN 37 LT YUVARLAK</t>
  </si>
  <si>
    <t>YAYIK MİNİSAN 40 LT YUVARLAK</t>
  </si>
  <si>
    <t>YAYIK MİNİSAN 45 LT YUVARLAK</t>
  </si>
  <si>
    <t>YAYIK MİNİSAN 55 LT KÖŞELİ</t>
  </si>
  <si>
    <t>YAYIK MİNİSAN 55 LT YUVARLAK</t>
  </si>
  <si>
    <t>MİNİSAN ANKASTRE EMAYE OCAK</t>
  </si>
  <si>
    <t>UFO MİNİSAN AR 2002 2900W ÇİFT FLEMENTLİ</t>
  </si>
  <si>
    <t>UFO MİNİSAN AR 3000W ÇİFT FLEMENTLİ</t>
  </si>
  <si>
    <t>MİNİSAN ÇİFTLİ PLEYTLİ</t>
  </si>
  <si>
    <t>QUARTZ SOBA MİNİSAN MAXİ 2500W BUHARLI</t>
  </si>
  <si>
    <t>QUARTZ SOBA MİNİSAN MİDİ 2100W BUHARLI</t>
  </si>
  <si>
    <t>MİNİSAN SARHOŞ VANTİLATÖR VENÜS 18İNÇ</t>
  </si>
  <si>
    <t>MİNİSAN TEKLİ PLEYTLİ 1500W</t>
  </si>
  <si>
    <t>MİNİSAN-MAXİMUS 6401 FFD LPG OCAK</t>
  </si>
  <si>
    <t>MİNİSAN-MAXİMUS 6401 FFD DG OCAK</t>
  </si>
  <si>
    <t>MİNİSAN-MAXİMUS KLASİK GAZ EMNİYETLİ OCAK</t>
  </si>
  <si>
    <t xml:space="preserve">SEMAVER PEGASUS BÜYÜK BOY ELEKTRİKLİ </t>
  </si>
  <si>
    <t>SEMAVER PEGASUS HANZADE ELEKTRİKLİ 4,5LT (6)</t>
  </si>
  <si>
    <t>SEMAVER PEGASUS KÜÇÜK BOY ELEKTRİKLİ (6)</t>
  </si>
  <si>
    <t>ÜTÜ PHİLİPS AZUR 2800W</t>
  </si>
  <si>
    <t>MİKSER PHİLİPS 3000 SERİSİ</t>
  </si>
  <si>
    <t>ÜTÜ PHİLİPS ESSENTİAL BUHAR KAZANLI</t>
  </si>
  <si>
    <t>ÜTÜ PHİLİPS S.GLİDE DST 5030 2500W</t>
  </si>
  <si>
    <t>SÜPÜRGE PHİLİPS POWERPRO CİTY</t>
  </si>
  <si>
    <t>FÖN MAKİNESİ POWERTECH</t>
  </si>
  <si>
    <t>TRAŞ MAKİNESİ POWERTECH</t>
  </si>
  <si>
    <t>SAÇ KURUTMA MAKİNESİ RAKS MİRA</t>
  </si>
  <si>
    <t>SAÇ KURUTMA MAKİNESİ RAKS LORİS</t>
  </si>
  <si>
    <t>SAÇ KURUTMA MAKİNESİ RAKS NORA</t>
  </si>
  <si>
    <t>SÜPÜRGE RANGE BROOM PREMİUM</t>
  </si>
  <si>
    <t>SAÇ MAŞASI RANGE SD 3000</t>
  </si>
  <si>
    <t>SAÇ KURUTMA MAKİNESİ RANGE STYLE</t>
  </si>
  <si>
    <t>SAÇ KURUTMA MAKİNESİ SAREX EMİLY</t>
  </si>
  <si>
    <t>SAÇ KURUTMA MAKİNESİ SAREX LİNA</t>
  </si>
  <si>
    <t>PİZZA TAVASI SAREX GURME ELKTRİKLİ</t>
  </si>
  <si>
    <t>MİKSER SAREX VİSİON</t>
  </si>
  <si>
    <t>ÇEYİZ PAKETİ SEM CAKA</t>
  </si>
  <si>
    <t>ŞOFBEN SEM ELEGANCE ELEKTRİKLİ</t>
  </si>
  <si>
    <t>FIRIN SİMFER 4502 KÖŞELİ</t>
  </si>
  <si>
    <t>ASKI APARATI SKYTECH  32''</t>
  </si>
  <si>
    <t>ÜTÜ STİLEVS JETTMAX NANO SERAMİK LİLA</t>
  </si>
  <si>
    <t>BLENDER SET STİLEVS LİMİTLESS</t>
  </si>
  <si>
    <t>SAÇ KURUTMA MAKİNESİ STİLEVS FÖNMATİK FN978</t>
  </si>
  <si>
    <t>TOST MAKİNESİ STİLEVS TOST X</t>
  </si>
  <si>
    <t>YAYIK ŞAHBAZ 10 LT YUVARLAK</t>
  </si>
  <si>
    <t>YAYIK ŞAHBAZ 10 LT KAHVALTIM (Musluklu)</t>
  </si>
  <si>
    <t>YAYIK ŞAHBAZ 20 LT YAĞMATİK</t>
  </si>
  <si>
    <t>YAYIK ŞAHBAZ 35 LT YUVARLAK</t>
  </si>
  <si>
    <t>YAYIK ŞAHBAZ 40 LT YUVARLAK</t>
  </si>
  <si>
    <t>YAYIK ŞAHBAZ 50 LT YUVARLAK</t>
  </si>
  <si>
    <t>YAYIK ŞAHBAZ 60 LT YUVARLAK</t>
  </si>
  <si>
    <t>FIRIN ŞAMDAN 1007 BÜYÜK TERMOSTATLI CAMLI YUVARLAK</t>
  </si>
  <si>
    <t>FIRIN ŞAMDAN 2003 KÖŞELİ</t>
  </si>
  <si>
    <t>FIRIN ŞAMDAN 2005 KÖŞELİ TURBOLU</t>
  </si>
  <si>
    <t>FIRIN ŞAMDAN 2023 70 LT KÖŞELİ</t>
  </si>
  <si>
    <t>FIRIN ŞAMDAN 2033 (ÇİFT CAMLI) 60 LT KÖŞELİ</t>
  </si>
  <si>
    <t>UFO ŞAMDAN 4001 (3000 W)</t>
  </si>
  <si>
    <t>QUARTZ SOBA ŞAMDAN 3001-3002 (2+1) 1650W</t>
  </si>
  <si>
    <t xml:space="preserve">QUARTZ SOBA ŞAMDAN 3003 SLİM İNFRARED </t>
  </si>
  <si>
    <t>QUARTZ SOBA ŞAMDAN 3003 SLİM</t>
  </si>
  <si>
    <t>QUARTZ SOBA ŞAMDAN 3004</t>
  </si>
  <si>
    <t>QUARTZ SOBA ŞAMDAN 3005 QUARTZ</t>
  </si>
  <si>
    <t>QUARTZ SOBA ŞAMDAN 3009 SOBA</t>
  </si>
  <si>
    <t>UFO DİKEY ŞAMDAN 4005 (2200W)</t>
  </si>
  <si>
    <t>FIRIN ŞAMDAN BÜYÜK DÖNERLİ 1000T</t>
  </si>
  <si>
    <t>FIRIN ŞAMDAN DÖNERLİ 1003</t>
  </si>
  <si>
    <t>FIRIN ŞAMDAN TERMOSTATLI 1005 YUVARLAK</t>
  </si>
  <si>
    <t>UFO ŞAMDAN 4003 (2200W)</t>
  </si>
  <si>
    <t>ÜTÜ TEFAL EASYGLİSS PLUS 2700W 5770</t>
  </si>
  <si>
    <t>TROYA TR519 HAVA SOĞUTUCU MOBİL KLİMA</t>
  </si>
  <si>
    <t>UFO AYAK ALİMİNYUM</t>
  </si>
  <si>
    <t xml:space="preserve">UFO AYAĞI METAL </t>
  </si>
  <si>
    <t>UFO AYAĞI TELESKOPİK</t>
  </si>
  <si>
    <t>FIRIN UĞUR BÜYÜK BOY YUVARLAK TERMOSTATLI</t>
  </si>
  <si>
    <t>KATMER SACI UĞUR</t>
  </si>
  <si>
    <t>KATMER SACI UĞUR BÜYÜK</t>
  </si>
  <si>
    <t>FIRIN UĞUR YUVARLAK TERMOSTATLI</t>
  </si>
  <si>
    <t>ÜTÜ MASASI DAİLMOND DENİZ</t>
  </si>
  <si>
    <t>ÜTÜ MASASI DAİLMOND EMİR</t>
  </si>
  <si>
    <t>ŞOFBEN YILDIRAY  MUTFAK ŞOFBENİ</t>
  </si>
  <si>
    <t>ŞOFBEN YILDIRAY ELEKTRİKLİ ŞOFBEN</t>
  </si>
  <si>
    <t>ASKILIK</t>
  </si>
  <si>
    <t>ASKILIK ÇİFTLİ</t>
  </si>
  <si>
    <t>BEŞİK BAHAR</t>
  </si>
  <si>
    <t>SANDALYE BAR SANDALYESİ SUVEREN</t>
  </si>
  <si>
    <t>BEKLEME KOLTUĞU İKİLİ SILA</t>
  </si>
  <si>
    <t>BEKLEME KOLTUĞU TEKLİ SILA</t>
  </si>
  <si>
    <t>ÇAY SETİ PAPATYA</t>
  </si>
  <si>
    <t>ÇAY SETİ SABİT AHŞAP AYAK</t>
  </si>
  <si>
    <t>EKMEKLİK TEKLİ BASKILI</t>
  </si>
  <si>
    <t>EKMEKLİK TEKLİ DÜZ</t>
  </si>
  <si>
    <t>ŞOFBEN HOOK SPRİNG ELEKTRİKLİ</t>
  </si>
  <si>
    <t>MASA KATLANIR TEKERLEKLİ(YUSUF)</t>
  </si>
  <si>
    <t>KURUTMALIK MERCAN</t>
  </si>
  <si>
    <t>MASA AYAĞI BOYALI</t>
  </si>
  <si>
    <t>MASA KATLANIR 40*60 VERZALİT</t>
  </si>
  <si>
    <t>MASA KATLANIR 60*110 VERZALİT</t>
  </si>
  <si>
    <t>MASA KATLANIR 60*60 VERZALİT</t>
  </si>
  <si>
    <t>MASA KATLANIR 60*90 VERZALİT</t>
  </si>
  <si>
    <t>MASA KATLANIR 80*140 VERZALİT</t>
  </si>
  <si>
    <t>MASA BOHEM KOCABAY</t>
  </si>
  <si>
    <t xml:space="preserve">MASA KÜTÜK </t>
  </si>
  <si>
    <t>MASA MDF X AYAK SÜRGÜLÜ A.ÇAM/CEVİZ CANIPEK</t>
  </si>
  <si>
    <t>MASA LAK 80*130  X AYAK SÜRGÜLÜ CEVİZ</t>
  </si>
  <si>
    <t>MASA MDF TEK KANAT (BZB)</t>
  </si>
  <si>
    <t>MASA NOVA METAL AYAK FYZ</t>
  </si>
  <si>
    <t>MASA OLİVA FYZ</t>
  </si>
  <si>
    <t>MASA COLOR OTOMATİK SOHO (FYZ)</t>
  </si>
  <si>
    <t>MASA X AYAKLI 80*130 (BZB)</t>
  </si>
  <si>
    <t>MASA X AYAKLI 90*150 (BZB)</t>
  </si>
  <si>
    <t>MASA BOHEM YUVARLAK</t>
  </si>
  <si>
    <t>MASA PLASTİK 70*120 TEAK KUTULU</t>
  </si>
  <si>
    <t>MASA PLASTİK PALMİRA 70*120 KAPİÇİNO</t>
  </si>
  <si>
    <t>MASA PLASTİK PALMİRA 70*120 BEYAZ</t>
  </si>
  <si>
    <t>MASA PLASTİK PALMİRA 70*120 TEAK</t>
  </si>
  <si>
    <t>MASA PLASTİK RATTAN 80*140</t>
  </si>
  <si>
    <t>MASA PLASTİK RATTAN 90*150 ANTRASİT</t>
  </si>
  <si>
    <t>MASA PLASTİK RATTAN 90*90</t>
  </si>
  <si>
    <t>MASA PLASTİK RATTAN FLORYA 90*150 CAPPUCİNO</t>
  </si>
  <si>
    <t>MASA PLASTİK RATTAN FLORYA 90*150 KAHVE</t>
  </si>
  <si>
    <t>MASA SUNTA SABİT 70*110 CEVİZ</t>
  </si>
  <si>
    <t>MASA SİLVA SABİT FYZ</t>
  </si>
  <si>
    <t>MASA SİLVA KİTABELİ FYZ</t>
  </si>
  <si>
    <t>MASA SİLVA KARE KOCABAY</t>
  </si>
  <si>
    <t>MASA SİLVA OVAL KOCABAY</t>
  </si>
  <si>
    <t>MASA SİYAH MERMER KARİYER</t>
  </si>
  <si>
    <t>MASA VALDERA (FYZ)</t>
  </si>
  <si>
    <t>MASA YUVARLAK ODABAŞI</t>
  </si>
  <si>
    <t>METAL BAHÇE TAKIMI 2-1-1 (ÖMÜR)</t>
  </si>
  <si>
    <t>METAL BAHÇE TAKIMI 3-1-1 (ÖMÜR)</t>
  </si>
  <si>
    <t>ORTA SEHPA KUĞU NİKEL CAMLI ALFA</t>
  </si>
  <si>
    <t>ORTA SEHPA 60*90 TEKERLEKLİ SUVEREN</t>
  </si>
  <si>
    <t>ORTA SEHPA 70*110 TEKERLEKLİ SUVEREN</t>
  </si>
  <si>
    <t>ORTA SEHPA AKILLI TEKERLİ</t>
  </si>
  <si>
    <t>ORTA SEHPA AKILLI TEKERSİZ</t>
  </si>
  <si>
    <t>ORTA SEHPA C AHŞAP TND</t>
  </si>
  <si>
    <t>ORTA SEHPA HASIR C AHŞAP GOLD ODABAŞI</t>
  </si>
  <si>
    <t>ORTA SEHPA HASIR C CAMLI NİKEL ODABAŞI</t>
  </si>
  <si>
    <t>ORTA SEHPA HASIR C CAMLI GOLD ODABAŞI</t>
  </si>
  <si>
    <t>ORTA SEHPA HASIR C AHŞAP NİKEL ODABAŞI</t>
  </si>
  <si>
    <t>ORTA SEHPA İZMİR BEYAZ</t>
  </si>
  <si>
    <t>ORTA SEHPA İZMİR CEVİZ</t>
  </si>
  <si>
    <t>ORTA SEHPA İZMİR İRONİ</t>
  </si>
  <si>
    <t>ORTA SEHPA İZMİR SİYAH</t>
  </si>
  <si>
    <t>ORTA SEHPA KARE CAMLI</t>
  </si>
  <si>
    <t>ORTA SEHPA KUĞU NİKEL CAMLI ALTINAKSESUAR</t>
  </si>
  <si>
    <t>ORTA SEHPA KUM SAATİ CAMLI</t>
  </si>
  <si>
    <t>ORTA SEHPA KUM SAATİ HASIRLI CAMLI</t>
  </si>
  <si>
    <t xml:space="preserve">ORTA SEHPA LUKENS </t>
  </si>
  <si>
    <t>ORTA SEHPA LÜKENS BEYAZ CANIPEK</t>
  </si>
  <si>
    <t>ORTA SEHPA LÜKENS CEVİZ CANIPEK</t>
  </si>
  <si>
    <t>ORTA SEHPA LÜKENS KREM CANIPEK</t>
  </si>
  <si>
    <t>ORTA SEHPA OTTO ODABAŞI</t>
  </si>
  <si>
    <t>ORTA SEHPA PİYANO MDF YUVARLAK</t>
  </si>
  <si>
    <t xml:space="preserve">ORTA SEHPA POTA </t>
  </si>
  <si>
    <t>ORTA SEHPA YAŞAM 4+1 ODABAŞI</t>
  </si>
  <si>
    <t>SALINCAK ÇİFTLİ BİTATEK</t>
  </si>
  <si>
    <t>SALINCAK RATTAN ÇİTLİ</t>
  </si>
  <si>
    <t>SALINCAK TEKLİ BİTATEK</t>
  </si>
  <si>
    <t>SANDALYE ADA AS HOME 01 KAPİÇİNO</t>
  </si>
  <si>
    <t>SANDALYE ASALET AS HOME 01 KAPİÇİNO</t>
  </si>
  <si>
    <t>SANDALYE POLO BOHEM</t>
  </si>
  <si>
    <t>SANDALYE ELMA BF AS HOME 03 GRİ</t>
  </si>
  <si>
    <t>SANDALYE KARE GOLD BF AS HOME 01 KAPİÇİNO</t>
  </si>
  <si>
    <t>SANDALYE LİYA BF AS HOME 01 KAPİÇİNO</t>
  </si>
  <si>
    <t>SANDALYE LOTUS ODABAŞI</t>
  </si>
  <si>
    <t>SANDALYE OLİVA FYZ</t>
  </si>
  <si>
    <t>SANDALYE PLASTİK BAMBU CAPPUCİNO (ATLANTİS)</t>
  </si>
  <si>
    <t>SANDALYE PLASTİK BAMBU KAHVE (ATLANTİS)</t>
  </si>
  <si>
    <t>SANDALYE PLASTİK BERGAMA CAPPUCİNO</t>
  </si>
  <si>
    <t>SANDALYE PLASTİK BERGAMA TEAK</t>
  </si>
  <si>
    <t>SANDALYE PLASTİK NAPOLİ LÜKS  TEAK</t>
  </si>
  <si>
    <t>SANDALYE PLASTİK NAPOLİ LÜKS CAPPUCİNO</t>
  </si>
  <si>
    <t>SANDALYE PLASTİK OSCAR METAL AYAKLI KIRMIZI</t>
  </si>
  <si>
    <t>SANDALYE PLASTİK OSCAR METAL AYAKLI MAVİ</t>
  </si>
  <si>
    <t>SANDALYE PLASTİK OSCAR METAL AYAKLI TEAK</t>
  </si>
  <si>
    <t>SANDALYE PLASTİK OSCAR METAL AYAKLI TURUNCU</t>
  </si>
  <si>
    <t>SANDALYE PLASTİK OSCAR METAL AYAKLI YEŞİL</t>
  </si>
  <si>
    <t>SANDALYE PLASTİK RATTAN  HİLTON KAHVE</t>
  </si>
  <si>
    <t>SANDALYE PLASTİK RATTAN HİLTON CAPPUCİNO</t>
  </si>
  <si>
    <t>SANDALYE PLASTİK RATTAN PARİS</t>
  </si>
  <si>
    <t>SANDALYE SİLVA FYZ</t>
  </si>
  <si>
    <t>SANDALYE TELLİ</t>
  </si>
  <si>
    <t>SANDALYE VALE FYZ</t>
  </si>
  <si>
    <t xml:space="preserve">SANDALYE VENEDİK </t>
  </si>
  <si>
    <t>SANDALYE VİLLA FYZ</t>
  </si>
  <si>
    <t>SEKRETER KOLTUĞU ALYA</t>
  </si>
  <si>
    <t>SEKRETER KOLTUĞU BELLO</t>
  </si>
  <si>
    <t>SEKRETER KOLTUĞU ÇİZGİ MÜDÜR</t>
  </si>
  <si>
    <t>SEKRETER KOLTUĞU ERCİYES MÜDÜR</t>
  </si>
  <si>
    <t>SEKRETER KOLTUĞU EVO HAREKETLİ MÜDÜR</t>
  </si>
  <si>
    <t>SEKRETER KOLTUĞU KONFOR</t>
  </si>
  <si>
    <t>SEKRETER KOLTUĞU MÜDÜR EKO</t>
  </si>
  <si>
    <t>SEKRETER KOLTUĞU PİRAMİT</t>
  </si>
  <si>
    <t>SEKRETER KOLTUĞU EVO SABİT BAŞLIK</t>
  </si>
  <si>
    <t>SEKRETER KOLTUĞU SILA MÜDÜR</t>
  </si>
  <si>
    <t>SEKRETER KOLTUĞU UZAY</t>
  </si>
  <si>
    <t>SEKRETER KOLTUĞU YILDIZ</t>
  </si>
  <si>
    <t>TABURE DEMİR ÇEMBERLİ</t>
  </si>
  <si>
    <t>TABURE DEMİR BOYALI</t>
  </si>
  <si>
    <t>TABURE METAL HEKİM</t>
  </si>
  <si>
    <t>TARÇIN HAMAK</t>
  </si>
  <si>
    <t xml:space="preserve">SANDALYE TEL SANDALYE </t>
  </si>
  <si>
    <t xml:space="preserve">TV ÜNİTESİ ŞÖMİNELİ DÖŞEMELİ </t>
  </si>
  <si>
    <t>YAŞAM 4+1 AHŞAP NİKEL ODABAŞI</t>
  </si>
  <si>
    <t>YAŞAM 4+1 SET CAMLI NİKEL ODABAŞI</t>
  </si>
  <si>
    <t>ZEYTİN ANADİZİ</t>
  </si>
  <si>
    <t>ZİGON A TEPSİ METAL AYAK</t>
  </si>
  <si>
    <t>ZİGON C 3 LÜ TEKERLEKLİ TAŞÇIOĞLU</t>
  </si>
  <si>
    <t>ZİGON C 4 LÜ TEKERLEKLİ COŞKUN</t>
  </si>
  <si>
    <t>ZİGON C AHŞAP ALFA</t>
  </si>
  <si>
    <t>ZİGON C CAMLI GOLD</t>
  </si>
  <si>
    <t xml:space="preserve">ZİGON ÇANTA CAMLI BASKILI </t>
  </si>
  <si>
    <t>ZİGON ÇANTA MEBRAN</t>
  </si>
  <si>
    <t>ZİGON ÇANTA MEBRAN ERELYA (TND)</t>
  </si>
  <si>
    <t>ZİGON DEMET BOYALI</t>
  </si>
  <si>
    <t>ZİGON GÜRGEN BEYAZ</t>
  </si>
  <si>
    <t>ZİGON GÜRGEN CEVİZ</t>
  </si>
  <si>
    <t>ZİGON GÜRGEN KREM</t>
  </si>
  <si>
    <t>ZİGON C HASIR AHŞAP GOLD ODABAŞI</t>
  </si>
  <si>
    <t>ZİGON İZMİR BEYAZ</t>
  </si>
  <si>
    <t>ZİGON İZMİR CEVİZ</t>
  </si>
  <si>
    <t>ZİGON İZMİR İRONİ</t>
  </si>
  <si>
    <t>ZİGON İZMİR SİYAH</t>
  </si>
  <si>
    <t>ZİGON KUĞU CAMLI</t>
  </si>
  <si>
    <t>ZİGON KUM SAATİ CAMLI</t>
  </si>
  <si>
    <t>ZİGON KUM SAATİ HASIRLI CAMLI</t>
  </si>
  <si>
    <t>ZİGON LÜKENS BEYAZ CANIPEK</t>
  </si>
  <si>
    <t>ZİGON LÜKENS CEVİZ CANIPEK</t>
  </si>
  <si>
    <t>ZİGON LÜKENS DEMONTE BEYAZ DÜZ</t>
  </si>
  <si>
    <t>ZİGON LÜKENS DEMONTE BEYAZ OYMALI</t>
  </si>
  <si>
    <t>ZİGON LÜKENS DEMONTE KREM DÜZ</t>
  </si>
  <si>
    <t>ZİGON LÜKENS DEMONTE KREM OYMALI</t>
  </si>
  <si>
    <t>ZİGON LÜKENS KREM CANIPEK</t>
  </si>
  <si>
    <t>ZİGON OTTO ODABAŞI</t>
  </si>
  <si>
    <t>ZİGON PİYANO MDF YUVARLAK</t>
  </si>
  <si>
    <t>ZİGON POTA CAMLI</t>
  </si>
  <si>
    <t>ZİGON TEKERLİ GOLD</t>
  </si>
  <si>
    <t>ZİGON TEKERLİ NİKEL</t>
  </si>
  <si>
    <t>ZİGON TEKERLİ SİYAH</t>
  </si>
  <si>
    <t xml:space="preserve">ZİGON TEPSİ CAMLI </t>
  </si>
  <si>
    <t>ZİGON TEPSİ TND</t>
  </si>
  <si>
    <t xml:space="preserve">ZİGON TEPSİ YENİ YILDIZ </t>
  </si>
  <si>
    <t>ZİGON YUVARLAK CAMLI KUĞU</t>
  </si>
  <si>
    <t>ÇAY OCAĞI KAPLANLI 10'LUK DG</t>
  </si>
  <si>
    <t>ÇAY OCAĞI KAPLANLI 10'LUK LPG</t>
  </si>
  <si>
    <t>KAZAN KAPLANLI 10'LUK DÜZ ELEKTRİKLİ</t>
  </si>
  <si>
    <t>KAZAN KAPLANLI 10'LUK TEK</t>
  </si>
  <si>
    <t>ÇAY OCAĞI KAPLANLI 20'LİK DG</t>
  </si>
  <si>
    <t>ÇAY OCAĞI KAPLANLI 20'LİK LPG</t>
  </si>
  <si>
    <t>KAZAN KAPLANLI 20'LİK DÜZ ELEKTRİKLİ</t>
  </si>
  <si>
    <t>KAZAN KAPLANLI 20'LİK ELEKTRİKLİ TAKIM</t>
  </si>
  <si>
    <t>KAZAN KAPLANLI 20'LİK TEK</t>
  </si>
  <si>
    <t>3 LÜ TE</t>
  </si>
  <si>
    <t>ÇAY OCAĞI KAPLANLI 30-40'LIK DG</t>
  </si>
  <si>
    <t>ÇAY OCAĞI KAPLANLI 30-40'LIK LPG</t>
  </si>
  <si>
    <t>KAZAN KAPLANLI 30'LUK DÜZ ELEKTRİKLİ</t>
  </si>
  <si>
    <t>KAZAN KAPLANLI 30'LUK ELKTRİKLİ TAKIM</t>
  </si>
  <si>
    <t>KAZAN KAPLANLI 30'LUK TEK</t>
  </si>
  <si>
    <t>KAZAN KAPLANLI 40'LIK DÜZ ELEKTRİKLİ</t>
  </si>
  <si>
    <t>KAZAN KAPLANLI 40'LIK ELKTRİKLİ TAKIM</t>
  </si>
  <si>
    <t>KAZAN KAPLANLI 40'LIK TEK</t>
  </si>
  <si>
    <t>ÇAY OCAĞI KAPLANLI 55'LİK DG</t>
  </si>
  <si>
    <t>ÇAY OCAĞI KAPLANLI 55'LİK LPG</t>
  </si>
  <si>
    <t>KAZAN KAPLANLI 55'LİK DÜZ ELEKTİRKLİ</t>
  </si>
  <si>
    <t>KAZAN KAPLANLI 55'LİK ELEKTRİKLİ TÜPLÜ</t>
  </si>
  <si>
    <t xml:space="preserve">KAZAN KAPLANLI 55'LİK ELEKTRİKLİ TAKIM </t>
  </si>
  <si>
    <t>KAZAN KAPLANLI 55'LİK TEK</t>
  </si>
  <si>
    <t>ALİMİNYUM PUL</t>
  </si>
  <si>
    <t>ALTINBOĞA KİLİTLİ METAL DEDANTÖR 10MM</t>
  </si>
  <si>
    <t>ALTINBOĞA KOMBİ DEDANTÖR</t>
  </si>
  <si>
    <t>ALTINBOĞA NOVACOMENT DEDANTÖR 4 KG</t>
  </si>
  <si>
    <t>ALTINBOĞA UFAK SANAYİ DEDANTÖR</t>
  </si>
  <si>
    <t>ARÇELİK ALİMİNYUM BEK</t>
  </si>
  <si>
    <t>ARÇELİK DOĞALGAZ MEME</t>
  </si>
  <si>
    <t xml:space="preserve">AYGAZ HORTUM GİRİŞLİ MUSLUK </t>
  </si>
  <si>
    <t>AYGAZ MUSLUK</t>
  </si>
  <si>
    <t>BM DEBİLİ SANAYİ DEDANTÖR</t>
  </si>
  <si>
    <t>BM METAL DEDANTÖR 8MM</t>
  </si>
  <si>
    <t>BM PLASTİK DEDANTÖR 10 MM</t>
  </si>
  <si>
    <t>BM PLASTİK DEDANTÖR 8 MM</t>
  </si>
  <si>
    <t>BM UFAK SANAYİ METAL DEDANTÖR</t>
  </si>
  <si>
    <t xml:space="preserve">BOSCH LPG MEME </t>
  </si>
  <si>
    <t>FRİTÖZ ÇİFTLİ ELEKTRİKLİ 3+3 LT</t>
  </si>
  <si>
    <t>FRİTÖZ ÇİFTLİ ELEKTRİKLİ 5+5 LT</t>
  </si>
  <si>
    <t>DAMACANA YAYLI KAPAK</t>
  </si>
  <si>
    <t>DEDANTÖRLÜ NURGAZ KAMP SOBA AYGAZ</t>
  </si>
  <si>
    <t>DEDANTÖRLÜ NURGAZ KAMP SOBA İPRA</t>
  </si>
  <si>
    <t>DİK HORTUM GİRİŞİ</t>
  </si>
  <si>
    <t>DOĞALGAZ DİRSEK (İKİ TARAFI ERKEK)</t>
  </si>
  <si>
    <t>DOĞALGAZ HORTUMU 100CM</t>
  </si>
  <si>
    <t>DOĞALGAZ HORTUMU 125CM</t>
  </si>
  <si>
    <t>DOĞALGAZ HORTUMU 150CM</t>
  </si>
  <si>
    <t>DOĞALGAZ HORTUMU 200CM</t>
  </si>
  <si>
    <t>DOĞALGAZ HORTUMU 50CM</t>
  </si>
  <si>
    <t>DOĞALGAZ HORTUMU 75CM</t>
  </si>
  <si>
    <t>ELCEK-DAMACANA KULP</t>
  </si>
  <si>
    <t>ELEKTRİKLİ SAÇ EMAYE KAYSERİ</t>
  </si>
  <si>
    <t>EN KÜÇÜK DOĞALGAZ GİRİŞİ</t>
  </si>
  <si>
    <t>EN KÜÇÜK OCAK HORTUM GİRİŞİ</t>
  </si>
  <si>
    <t>ERENDEMİR GRANİT TAVA</t>
  </si>
  <si>
    <t xml:space="preserve">FIRIN DOĞALGAZ GİRİŞİ </t>
  </si>
  <si>
    <t>FIRIN HORTUM GİRİŞİ GENİŞ OLAN</t>
  </si>
  <si>
    <t>FIRIN KÖRTAPA GENİŞ</t>
  </si>
  <si>
    <t>SÜZGEÇ GENİŞ</t>
  </si>
  <si>
    <t>KAPLANLI PLEYT IZGARA 50CM ELEKT. HAMBURGER KÖFTE</t>
  </si>
  <si>
    <t>FANLI ISITICI HOOK</t>
  </si>
  <si>
    <t>HUNİ SU İÇİN</t>
  </si>
  <si>
    <t>ISI-MEKA KAMP OCAK AYGAZ</t>
  </si>
  <si>
    <t>ISI-MEKA KAMP OCAK İPRA</t>
  </si>
  <si>
    <t>İPRA CONTA</t>
  </si>
  <si>
    <t>İPRA HORTUM GİRİŞLİ MUSLUK</t>
  </si>
  <si>
    <t>İPRA MUSLUK</t>
  </si>
  <si>
    <t>KAHVECİ KAZAN MUSLUĞU SU İÇİN</t>
  </si>
  <si>
    <t>KAHVECİ OCAK MUSLUĞU GAZ İÇİN</t>
  </si>
  <si>
    <t>KAHVECİ OCAK MUSLUĞU İNCE DİŞ</t>
  </si>
  <si>
    <t>KAHVECİ OCAK MUSLUĞU KALIN DİŞ</t>
  </si>
  <si>
    <t xml:space="preserve">KAMP OCAK MUSLUĞU AYGAZ </t>
  </si>
  <si>
    <t>KAMP OCAK MUSLUĞU İPRA</t>
  </si>
  <si>
    <t>KAMP SOBA MUSLUĞU AYGAZ</t>
  </si>
  <si>
    <t>KAMP SOBA MUSLUĞU İPRA</t>
  </si>
  <si>
    <t>TOST MAKİNESİ KAPLANLI 12 DİLİM ELEKTRİKLİ</t>
  </si>
  <si>
    <t>SEMAVER KAPLANLI 120 BARDAK</t>
  </si>
  <si>
    <t>TOST MAKİNESİ KAPLANLI 20 DİLİM ELEKTRİKLİ</t>
  </si>
  <si>
    <t>TOST MAKİNESİ KAPLANLI 24 DİLİM ELEKTRİKLİ</t>
  </si>
  <si>
    <t>DÖNER OCAĞI KAPLANLI 2'Lİ GAZ EMNİYETLİ</t>
  </si>
  <si>
    <t>DÖNER OCAĞI KAPLANLI 3'LÜ GAZ EMNİYETSİZ</t>
  </si>
  <si>
    <t>DÖNER OCAĞI KAPLANLI 4'LÜ GAZ EMNİYETLİ</t>
  </si>
  <si>
    <t>KAPLANLI 60x70 YER OCAĞI ÇİFT YANIŞLI</t>
  </si>
  <si>
    <t>TOST MAKİNESİ KAPLANLI 8 DİLİM ELEKTRİKLİ</t>
  </si>
  <si>
    <t>KAPLANLI PLEYT IZGARA 70 CM HAMBURGER KÖFTE</t>
  </si>
  <si>
    <t>KARE VOLKAN MİNİ</t>
  </si>
  <si>
    <t>KARE VOLKAN PİK 35*35</t>
  </si>
  <si>
    <t>KARE VOLKAN PİK 40*40</t>
  </si>
  <si>
    <t>KATMER SAC MUSLUĞU</t>
  </si>
  <si>
    <t>KAVURMA SAC MUSLUĞU AYGAZ</t>
  </si>
  <si>
    <t>KAVURMA SAC MUSLUĞU İPRA</t>
  </si>
  <si>
    <t>KELEPÇE 13-19</t>
  </si>
  <si>
    <t>KELEPÇELİ IZGARA</t>
  </si>
  <si>
    <t>KÜNEFE OCAĞI SEYYAR</t>
  </si>
  <si>
    <t>KÜNEFE OCAK MUSLUĞU</t>
  </si>
  <si>
    <t>LİMİTED DEBİLİ SANAYİ DEDANTÖR</t>
  </si>
  <si>
    <t>LİMİTED KİLİTLİ METAL DEDANTÖR 10 MM</t>
  </si>
  <si>
    <t>LİMİTED KİLİTLİ METAL DEDANTÖR 8MM</t>
  </si>
  <si>
    <t>LİMİTED METAL DEDANTÖR</t>
  </si>
  <si>
    <t xml:space="preserve">LİMİTED NOVA KİLİTLİ DEDANTÖR </t>
  </si>
  <si>
    <t>LİMİTED UFAK SANAYİ DEDANTÖR</t>
  </si>
  <si>
    <t>LOKANTA OCAĞI 2'Lİ KISA AYAK LPG</t>
  </si>
  <si>
    <t>LOKANTA OCAĞI 2'Lİ UZUN AYAK</t>
  </si>
  <si>
    <t>LOKANTA OCAĞI 3'LÜ KISA AYAK LPG</t>
  </si>
  <si>
    <t>LOKANTA OCAĞI 3'LÜ UZUN AYAK</t>
  </si>
  <si>
    <t>LOKANTA OCAĞI TEKLİ UZUN AYAK</t>
  </si>
  <si>
    <t>LÜKS CAMI</t>
  </si>
  <si>
    <t>LÜKS GÖMLEĞİ ÇENGELLİ NURGAZ</t>
  </si>
  <si>
    <t>LÜKS GÖMLEĞİ ÇENGELLİ ORGAZ</t>
  </si>
  <si>
    <t>LÜKS GÖMLEĞİ İPLİ</t>
  </si>
  <si>
    <t>MEDD KAMP OCAK AYGAZ</t>
  </si>
  <si>
    <t xml:space="preserve">MEDD SİBOBLU KAMP OCAK </t>
  </si>
  <si>
    <t>MEDD TURBO KAMP OCAK AYGAZ</t>
  </si>
  <si>
    <t xml:space="preserve">MEDD TURBO KAMP OCAK İPRA </t>
  </si>
  <si>
    <t>MEGA IZGARA</t>
  </si>
  <si>
    <t>MURAT 500'LÜK VANALI DEDANTÖR</t>
  </si>
  <si>
    <t>MURAT DEBİLİ SANAYİ DEDANTÖR</t>
  </si>
  <si>
    <t>MURAT GEÇME ŞOHBEN DEDANTÖRÜ</t>
  </si>
  <si>
    <t>MURAT KAAN KİLİTLİ METAL DEDANTÖR 10 MM</t>
  </si>
  <si>
    <t>MURAT KAAN KİLİTLİ METAL DEDANTÖR 8MM</t>
  </si>
  <si>
    <t>MURAT KOMBİ DEDANTÖR</t>
  </si>
  <si>
    <t>MURAT KOMBİ DEDANTÖRÜ 2 KG</t>
  </si>
  <si>
    <t>MURAT KOMBİ DEDANTÖRÜ 4 KG</t>
  </si>
  <si>
    <t>MURAT METAL 500'LÜK SİBOBLU DEDANTÖR</t>
  </si>
  <si>
    <t xml:space="preserve">MURAT METAL DEDANTÖR </t>
  </si>
  <si>
    <t xml:space="preserve">MURAT SAATLİ SANAYİ DEDANTÖR </t>
  </si>
  <si>
    <t>MURAT SARI SANAYİ DEDANTÖR</t>
  </si>
  <si>
    <t>MURAT UFAK SANAYİ DEDANTÖR</t>
  </si>
  <si>
    <t>MURAT VANALI AYARLI DEDANTÖR</t>
  </si>
  <si>
    <t>MURAT VANALI DEDANTÖR</t>
  </si>
  <si>
    <t>MURAT VANALI ŞOFBEN DEDANTÖRÜ</t>
  </si>
  <si>
    <t xml:space="preserve">NURGAZ 190 GR KARTUŞ </t>
  </si>
  <si>
    <t xml:space="preserve">NURGAZ 190 GR LÜKS </t>
  </si>
  <si>
    <t xml:space="preserve">NURGAZ 220 GR UZUN KARTUŞ </t>
  </si>
  <si>
    <t>NURGAZ 230 GR VİDALI KARTUŞ</t>
  </si>
  <si>
    <t>NURGAZ 450 GR VİDALI KARTUŞ</t>
  </si>
  <si>
    <t>NURGAZ 500 GR KARTUŞ</t>
  </si>
  <si>
    <t>NURGAZ 500 GR LÜKS</t>
  </si>
  <si>
    <t>NURGAZ 500 GR OCAK</t>
  </si>
  <si>
    <t>NURGAZ ÇANTALI PORTATİF OCAK</t>
  </si>
  <si>
    <t>NURGAZ ÇOK AMAÇLI AYGAZ</t>
  </si>
  <si>
    <t>NURGAZ ÇOK AMAÇLI İPRA</t>
  </si>
  <si>
    <t xml:space="preserve">NURGAZ GÜNEŞ 2 SOBA </t>
  </si>
  <si>
    <t xml:space="preserve">NURGAZ KAMP OCAK AYGAZ </t>
  </si>
  <si>
    <t xml:space="preserve">NURGAZ KAMP OCAK İPRA </t>
  </si>
  <si>
    <t>NURGAZ KÜÇÜK LÜKS AYGAZ</t>
  </si>
  <si>
    <t xml:space="preserve">NURGAZ KÜÇÜK TURBO KAMP OCAK AYGAZ </t>
  </si>
  <si>
    <t>NURGAZ KÜÇÜK TURBO KAMP OCAK İPRA</t>
  </si>
  <si>
    <t>NURGAZ LÜKS AYGAZ</t>
  </si>
  <si>
    <t>NURGAZ LÜKS İPRA</t>
  </si>
  <si>
    <t>NURGAZ NARGİLE OCAĞI</t>
  </si>
  <si>
    <t>NURGAZ NG-0060 ŞALOMA</t>
  </si>
  <si>
    <t>NURGAZ NG-0150 ŞALOMA</t>
  </si>
  <si>
    <t xml:space="preserve">NURGAZ NG-0250 KUYUMCU ŞALOMA </t>
  </si>
  <si>
    <t>NURGAZ NG-0350 ŞALOMA</t>
  </si>
  <si>
    <t>NURGAZ NG-0500 ŞALOMA</t>
  </si>
  <si>
    <t>NURGAZ NG-0550 ŞALOMA</t>
  </si>
  <si>
    <t>NURGAZ NG-0600 ŞALOMA</t>
  </si>
  <si>
    <t>NURGAZ NG-0650 ŞALOMA</t>
  </si>
  <si>
    <t>NURGAZ NG-0700 ŞALOMA</t>
  </si>
  <si>
    <t>NURGAZ NG-075 TROYA OCAK</t>
  </si>
  <si>
    <t>NURGAZ NG-076 OLYMPOS OCAK</t>
  </si>
  <si>
    <t>NURGAZ NG-0800 ŞALOMA</t>
  </si>
  <si>
    <t>NURGAZ NG-0975 ŞALOMA TETİKLİ (25 CM)</t>
  </si>
  <si>
    <t>NURGAZ NG-0985 ŞALOMA TETİKLİ (33 CM)</t>
  </si>
  <si>
    <t>NURGAZ NG-0995 ŞALOMA TETİKLİ (13 CM)</t>
  </si>
  <si>
    <t>NURGAZ NG-1010 ŞALOMA TETİKLİ (45CM)</t>
  </si>
  <si>
    <t>NURGAZ NG-1060 ŞALOMA TETİKLİ (75CM)</t>
  </si>
  <si>
    <t>NURGAZ NG-1300 ŞALOMA</t>
  </si>
  <si>
    <t>NURGAZ TURBO KAMP OCAK AYGAZ</t>
  </si>
  <si>
    <t>NURGAZ TURBO KAMP OCAK İPRA</t>
  </si>
  <si>
    <t>NURGAZ UZUN KARTUŞ NG-207</t>
  </si>
  <si>
    <t>OCAK DOĞALGAZ GİRİŞ</t>
  </si>
  <si>
    <t>OCAK HORTUM GİRİŞİ</t>
  </si>
  <si>
    <t>OCAK KÖRTAPA DAR</t>
  </si>
  <si>
    <t>OCAK ÜSTÜ KÜNEFE OCAĞI</t>
  </si>
  <si>
    <t>ORGAZ 500 GR LÜKS LAMBA</t>
  </si>
  <si>
    <t>PİKNİK DÜĞME</t>
  </si>
  <si>
    <t>PİKNİK MEME</t>
  </si>
  <si>
    <t>PİKNİK UÇ HORTUM GİRECEK</t>
  </si>
  <si>
    <t>PİKNİK VİDA</t>
  </si>
  <si>
    <t>PÜRMÜZ AYGAZ</t>
  </si>
  <si>
    <t xml:space="preserve">PÜRMÜZ İPRA </t>
  </si>
  <si>
    <t>RADYAN DOĞALGAZ METSER</t>
  </si>
  <si>
    <t>RADYAN LPG METSER</t>
  </si>
  <si>
    <t>RADYAN TELİ</t>
  </si>
  <si>
    <t>SANAYİ BORU</t>
  </si>
  <si>
    <t>SANAYİ MUSLUK DG</t>
  </si>
  <si>
    <t>SANAYİ MUSLUK LPG</t>
  </si>
  <si>
    <t>SEBİL BARDAKLIĞI</t>
  </si>
  <si>
    <t>SU POMPASI BLUERAİN</t>
  </si>
  <si>
    <t>SU POMPASI DORY</t>
  </si>
  <si>
    <t>SU POMPASI LABELLA</t>
  </si>
  <si>
    <t>SÜZGEÇ</t>
  </si>
  <si>
    <t>DÖNER OCAĞI TEKLİ</t>
  </si>
  <si>
    <t>FRİTÖZ TEKLİ ELEKTRİKLİ 3 LT</t>
  </si>
  <si>
    <t>FRİTÖZ TEKLİ ELEKTRİKLİ 5 LT</t>
  </si>
  <si>
    <t>KAPLANLI PLEYT IZGARA 50CM LPG HAMBURGER KÖFTE</t>
  </si>
  <si>
    <t>KAPLANLI PLEYT 30CM ELKT TEKLİ KÖFTE OCAĞI</t>
  </si>
  <si>
    <t>KAPLANLI TEKLİ KÖFTE OCAĞI LPG 30CM PİK IZGARA</t>
  </si>
  <si>
    <t>TURBO SÜZGEÇ</t>
  </si>
  <si>
    <t>USTA / KOSVA KÜÇÜK TURBO KAMP OCAK AYGAZ</t>
  </si>
  <si>
    <t>USTA / KOSVA KÜÇÜK TURBO KAMP OCAK İPRA</t>
  </si>
  <si>
    <t>SÜZGEÇ VİDALI</t>
  </si>
  <si>
    <t>VİDALI SÜZGEÇ ORTA BOY</t>
  </si>
  <si>
    <t xml:space="preserve">VOLKAN MUSLUK İNCE DİŞ </t>
  </si>
  <si>
    <t>VOLKAN MUSLUK İNCE DİŞ DG</t>
  </si>
  <si>
    <t>VOLKAN MUSLUK KALIN DİŞ</t>
  </si>
  <si>
    <t>VOLKAN MUSLUK KALIN DİŞ DG</t>
  </si>
  <si>
    <t>LAV TAŞI 2 KG</t>
  </si>
  <si>
    <t xml:space="preserve">10MM BEYAZ HORTUM </t>
  </si>
  <si>
    <t xml:space="preserve">10MM SANAYİ HORTUM </t>
  </si>
  <si>
    <t xml:space="preserve">10MM SARI HORTUM </t>
  </si>
  <si>
    <t>8MM İKİZ KAYNAK HORTUMU</t>
  </si>
  <si>
    <t>8MM MAVİ HORTUM</t>
  </si>
  <si>
    <t>8MM SARI HORTUM</t>
  </si>
  <si>
    <t>9 MM MAVİ HORTUM</t>
  </si>
  <si>
    <t>DEDANTÖR CONTA</t>
  </si>
  <si>
    <t>KELEPÇE 10-16</t>
  </si>
  <si>
    <t>SİBOPLU CONTA</t>
  </si>
  <si>
    <t>ARÇELİK ALİMİNYUM HAVUZ+SİYAH KAPAK</t>
  </si>
  <si>
    <t>ARÇELİK LPG MEME</t>
  </si>
  <si>
    <t>ARÇELİK SİYAH KAPAK TAKIM</t>
  </si>
  <si>
    <t xml:space="preserve">BOSCH DOĞALGAZ MEME </t>
  </si>
  <si>
    <t>KAYSERİ ALİMİNYUM HAVUZ+SİYAH SAC KAPAK</t>
  </si>
  <si>
    <t xml:space="preserve">KAYSERİ DOĞALGAZ MEME </t>
  </si>
  <si>
    <t>KAYSERİ LPG MEME</t>
  </si>
  <si>
    <t xml:space="preserve">KAYSERİ SAC KAPAK </t>
  </si>
  <si>
    <t>DÖNER OCAĞI KAPLANLI 3!LÜ GAZ EMNİYETLİ</t>
  </si>
  <si>
    <t>DÜDÜKLÜ LASTİĞİ 10-12 SİYAH</t>
  </si>
  <si>
    <t>DÜDÜKLÜ LASTİĞİ 5-6 GRİ</t>
  </si>
  <si>
    <t>DÜDÜKLÜ LASTİĞİ 5-6 SİYAH</t>
  </si>
  <si>
    <t>DÜDÜKLÜ LASTİĞİ 7-8 SİYAH</t>
  </si>
  <si>
    <t>DÜDÜKLÜ LASTİK 5-6 BEYAZ</t>
  </si>
  <si>
    <t>DÜDÜKLÜ LASTİK 7-8 BEYAZ</t>
  </si>
  <si>
    <t>FANTOM BORU</t>
  </si>
  <si>
    <t>FANTOM DEMİR BORU KALIN</t>
  </si>
  <si>
    <t>FANTOM EMİCİ KALIN</t>
  </si>
  <si>
    <t>FANTOM HORTUM KALIN</t>
  </si>
  <si>
    <t>FANTOM YATIK HORTUM</t>
  </si>
  <si>
    <t>KUTULU EMİCİ 32 MM</t>
  </si>
  <si>
    <t>KUTULU EMİCİ 35 MM</t>
  </si>
  <si>
    <t>KÜÇÜLTÜCÜ-CEZVELİK</t>
  </si>
  <si>
    <t>TABURE DEMİR ÇEMBERSİZ</t>
  </si>
  <si>
    <t>TÜPLÜ SAC EMAYE KAYSERİ</t>
  </si>
  <si>
    <t>FANTOM BÜYÜK BEZ TORBA</t>
  </si>
  <si>
    <t>ROWENTA RB-50 KAĞIT TORBA</t>
  </si>
  <si>
    <t>KETTLE CONTİ CRYSTAL CK-305</t>
  </si>
  <si>
    <t>KETTLE CONTİ AQUA  RED CK-238</t>
  </si>
  <si>
    <t>KETTLE CONTI METALLICA CK-248</t>
  </si>
  <si>
    <t>KETTLE CONTİ AQUA COLOR CK-238</t>
  </si>
  <si>
    <t>ÇAY MAKİNESİ HOOK HK509</t>
  </si>
  <si>
    <t>ÇAY MAKİNESİ FANTOM CY 1500</t>
  </si>
  <si>
    <t>ÇAY MAKİNESİ RANGE RANGTEA</t>
  </si>
  <si>
    <t>FİLTRE KAHVE MAKİNESİ SUNNY MORNİNG</t>
  </si>
  <si>
    <t>SEMAVER ÇAKIR ÇELİK 80 BARDAK</t>
  </si>
  <si>
    <t>SEMAVER ÇAKIR ÇELİK 140 BARDAK</t>
  </si>
  <si>
    <t>SEMAVER ÇAKIR ÇELİK 50 BARDAK</t>
  </si>
  <si>
    <t>TELEVİZYON TELEFUNKEN 55" 55TU7560UA</t>
  </si>
  <si>
    <t>SÜPÜRGE FANTOM TECHNOVAC TR 8700</t>
  </si>
  <si>
    <t>SÜPÜRGE STİLEVS MAXTRON</t>
  </si>
  <si>
    <t>BASKÜL VOOG DİGİTAL ŞARJLI</t>
  </si>
  <si>
    <t>BASKÜL FAKİR HERCULES</t>
  </si>
  <si>
    <t>SAÇ KURUTMA MAKİNESİ FAKİR ADVANCE DRY PRO</t>
  </si>
  <si>
    <t>SAÇ KURUTMA MAKİNESİ FAKİR ROSELİNE</t>
  </si>
  <si>
    <t>SAÇ KURUTMA MAKİNESİ CONTİ COOL CHD-120</t>
  </si>
  <si>
    <t>RONDO CONTİ QUICKMASTER CMD-305</t>
  </si>
  <si>
    <t>BLENDER SET SAREX ELİTE MİX</t>
  </si>
  <si>
    <t>SAÇ KURUTMA MAKİNESİ AWOX FOLD</t>
  </si>
  <si>
    <t>KATMER SACI OPTİMUM TERMOSTATLI</t>
  </si>
  <si>
    <t>FIRIN MİNİSAN MİDİ 40 LT</t>
  </si>
  <si>
    <t>FIRIN ERENDEMİR YUVARLAK GF-1001</t>
  </si>
  <si>
    <t>FIRIN MİNİSAN AYŞEGÜL DAVUL</t>
  </si>
  <si>
    <t>SEBİL AWOX ROSSO ARITMALI</t>
  </si>
  <si>
    <t>SEBİL AWOX SNOW DÜZ</t>
  </si>
  <si>
    <t>KAZAN KAPLANLI 20'LİK ELEKTRİKLİ TÜPLÜ</t>
  </si>
  <si>
    <t>KAZAN KAPLANLI 30'LİK ELEKTRİKLİ TÜPLÜ</t>
  </si>
  <si>
    <t>KAZAN KAPLANLI 40'LİK ELEKTRİKLİ TÜPLÜ</t>
  </si>
  <si>
    <t>ASKI APARATI MERTTUĞ 42"</t>
  </si>
  <si>
    <t>TV SEHPASI 140 CM PRMT</t>
  </si>
  <si>
    <t>MASA MDF KELEBEK EFES</t>
  </si>
  <si>
    <t>ŞOFBEN YILDIRAY MUSLUK ÜSTÜ</t>
  </si>
  <si>
    <t>REDÜKSİYON HORTUM GİRİŞLİ</t>
  </si>
  <si>
    <t>ORTA SEHPA CAMLI 60*100 ERALYA</t>
  </si>
  <si>
    <t>TV SEHPASI YEKTA MAGNUM AYTAŞI</t>
  </si>
  <si>
    <t>ÇAY SETİ PUF PAPATYA</t>
  </si>
  <si>
    <t>VOLKAN YUVARLAK</t>
  </si>
  <si>
    <t>RANZA İKİ KATLI</t>
  </si>
  <si>
    <t>LOKANTA OCAĞI KAPLANLI 2 Lİ GAZ EM. UZUN LPG</t>
  </si>
  <si>
    <t>LOKANTA OCAĞI KAPLANLI 2 Lİ GAZ EM. KISA LPG</t>
  </si>
  <si>
    <t>LOKANTA OCAĞI KAPLANLI 3 LÜ KISA GAZ EM. DG</t>
  </si>
  <si>
    <t>TV SEHPASI CANIPEK</t>
  </si>
  <si>
    <t>SANDALYE KARE GOLD JR KREM</t>
  </si>
  <si>
    <t>SANDALYE KARE GOLD EKİNCİLER</t>
  </si>
  <si>
    <t>SANDALYE FORUM</t>
  </si>
  <si>
    <t>LÜKS GÖMLEĞİ KARTUŞLU İÇİN NURGAZ</t>
  </si>
  <si>
    <t>ORGAZ 190 GR KAMP LÜKS</t>
  </si>
  <si>
    <t>TOST MAKİNESİ ARNEL DÖKÜM</t>
  </si>
  <si>
    <t>MASA KATLANIR 70*120 VERZALİT</t>
  </si>
  <si>
    <t>ZİGON C HASIR CAMLI NİKEL ODABAŞI</t>
  </si>
  <si>
    <t>ZİGON C HASIR CAMLI GOLD ODABAŞI</t>
  </si>
  <si>
    <t>ZİGON C HASIR AHŞAP NİKEL ODABAŞI</t>
  </si>
  <si>
    <t>ZİGON C 4 LÜ NİKEL COŞKUN</t>
  </si>
  <si>
    <t>ZİGON C HASIR CAMLI GOLD ALFA</t>
  </si>
  <si>
    <t>ZİGON C CAMLI NİKEL</t>
  </si>
  <si>
    <t>ZİGON C AHŞAP TND</t>
  </si>
  <si>
    <t>ORTA SEHPA KUĞU GOLD CAMLI ALTINAKSESUAR</t>
  </si>
  <si>
    <t>ORTA SEHPA KUĞU GOLD CAMLI ALFA</t>
  </si>
  <si>
    <t>YAŞAM 4+1 SET CAMLI GOLD ODABAŞI</t>
  </si>
  <si>
    <t>YAŞAM 4+1 AHŞAP GOLD ODABAŞI</t>
  </si>
  <si>
    <t>YAŞAM 4+1 SET CAMLI GOLD ALTINAKSESUAR</t>
  </si>
  <si>
    <t>YAŞAM 4+1 SET CAMLI NİKEL ALTINAKSESUAR</t>
  </si>
  <si>
    <t>ZİGON SEDEF DÜZ BEYAZ</t>
  </si>
  <si>
    <t>ORTA SEHPA KELEBEK AHŞAP KREM</t>
  </si>
  <si>
    <t>ORTA SEHPA PİYANO MDF KARE</t>
  </si>
  <si>
    <t>ZİGON PİYANO MDF KARE</t>
  </si>
  <si>
    <t>ZİGON NEJLA</t>
  </si>
  <si>
    <t>ZİGON A CAMLI İNCE AYAK</t>
  </si>
  <si>
    <t>AYAKKABILIK METAL 2 Lİ</t>
  </si>
  <si>
    <t>AYAKKABILIK METAL 3 LÜ</t>
  </si>
  <si>
    <t>AYAKKABILIK METAL 4 LÜ</t>
  </si>
  <si>
    <t>QUARTZ SOBA ŞAMDAN 3005 İNFRARED</t>
  </si>
  <si>
    <t>ORTA SEHPA C CAMLI NİKEL</t>
  </si>
  <si>
    <t>ORTA SEHPA C CAMLI GOLD</t>
  </si>
  <si>
    <t>ZİGON A CAMLI KALIN AYAK</t>
  </si>
  <si>
    <t>LOKANTA OCAĞI 3'LÜ KISA AYAK DG</t>
  </si>
  <si>
    <t>LOKANTA OCAĞI KAPLANLI 3 LÜ KISA GAZ EM.LPG</t>
  </si>
  <si>
    <t>DAVLUMBAZ LUXELL BEYAZ CAM</t>
  </si>
  <si>
    <t>MASA MDF X AYAK SÜRGÜLÜ CARARA/B.MERMER CANIPEK</t>
  </si>
  <si>
    <t>MASA MDF X AYAK SÜRGÜLÜ DÜZ BEYAZ  CANIPEK</t>
  </si>
  <si>
    <t>MASA MDF X AYAK SÜRGÜLÜ EFES CANIPEK</t>
  </si>
  <si>
    <t>RANZA METAL</t>
  </si>
  <si>
    <t>SANDALYE EKO</t>
  </si>
  <si>
    <t>MASA LAK KELEBEK 80*140 (FYZ)</t>
  </si>
  <si>
    <t>SÜZGEÇ VİDALI TURBO</t>
  </si>
  <si>
    <t>SANDALYE KARE GOLD BF AS HOME 02 KREM</t>
  </si>
  <si>
    <t>SANDALYE KARE GOLD BF AS HOME 03 GRİ</t>
  </si>
  <si>
    <t>SANDALYE KARE GOLD BF AS HOME 04 MÜRDÜM</t>
  </si>
  <si>
    <t>SANDALYE KARE GOLD BF AS HOME 05 KAHVE</t>
  </si>
  <si>
    <t>SANDALYE KARE GOLD BF AS HOME 06 ANTRASİT</t>
  </si>
  <si>
    <t>SANDALYE KARE GOLD JR KAPİÇİNO</t>
  </si>
  <si>
    <t>SANDALYE KARE GOLD JR KAHVE</t>
  </si>
  <si>
    <t>SANDALYE KARE GOLD JR GÜL KURUSU</t>
  </si>
  <si>
    <t>SANDALYE KARE GOLD JR GRİ</t>
  </si>
  <si>
    <t>SANDALYE KARE GOLD JR BORDO</t>
  </si>
  <si>
    <t>SANDALYE KARE GOLD JR LACİVERT</t>
  </si>
  <si>
    <t>SANDALYE KARE GOLD JR PEMBE</t>
  </si>
  <si>
    <t>SANDALYE KARE GOLD JR YEŞİL</t>
  </si>
  <si>
    <t>SANDALYE ADA AS HOME 02 KREM</t>
  </si>
  <si>
    <t>SANDALYE ADA AS HOME 03 GRİ</t>
  </si>
  <si>
    <t>SANDALYE ADA AS HOME 04 MÜRDÜM</t>
  </si>
  <si>
    <t>SANDALYE ADA AS HOME 05 KAHVE</t>
  </si>
  <si>
    <t>SANDALYE ADA AS HOME 06 ANTRASİT</t>
  </si>
  <si>
    <t>SANDALYE ASALET AS HOME 02 KREM</t>
  </si>
  <si>
    <t>SANDALYE ASALET AS HOME 03 GRİ</t>
  </si>
  <si>
    <t>SANDALYE ASALET AS HOME 04 MÜRDÜM</t>
  </si>
  <si>
    <t>SANDALYE ASALET AS HOME 05 KAHVE</t>
  </si>
  <si>
    <t>SANDALYE ASALET AS HOME 06 ANTRASİT</t>
  </si>
  <si>
    <t>SANDALYE ELMA BF AS HOME 01 KAPİÇİNO</t>
  </si>
  <si>
    <t>SANDALYE ELMA BF AS HOME 02 KREM</t>
  </si>
  <si>
    <t>SANDALYE ELMA BF AS HOME 04 MÜRDÜM</t>
  </si>
  <si>
    <t>SANDALYE ELMA BF AS HOME 05 KAHVE</t>
  </si>
  <si>
    <t>SANDALYE ELMA BF AS HOME 06 ANTRASİT</t>
  </si>
  <si>
    <t xml:space="preserve">SANDALYE ELMA NB AS HOME KREM </t>
  </si>
  <si>
    <t>SANDALYE ELMA NB AS HOME KAPİÇİNO</t>
  </si>
  <si>
    <t>SANDALYE ELMA NB AS HOME KAHVE</t>
  </si>
  <si>
    <t>SANDALYE ELMA NB AS HOME GRİ</t>
  </si>
  <si>
    <t>SANDALYE ELMA NB AS HOME ANTRASİT</t>
  </si>
  <si>
    <t>SANDALYE LİYA BF AS HOME 02 KREM</t>
  </si>
  <si>
    <t>SANDALYE LİYA BF AS HOME 03 GRİ</t>
  </si>
  <si>
    <t>SANDALYE LİYA BF AS HOME 04 MÜRDÜM</t>
  </si>
  <si>
    <t>SANDALYE LİYA BF AS HOME 05 KAHVE</t>
  </si>
  <si>
    <t>SANDALYE LİYA BF AS HOME 06 ANTRASİT</t>
  </si>
  <si>
    <t>SANDALYE ASALET AS HOME 07 SİYAH</t>
  </si>
  <si>
    <t>SANDALYE ASALET AS HOME 08 LACİVERT</t>
  </si>
  <si>
    <t>MASA SİLVA KİTABELİ YARIM AYAK FYZ</t>
  </si>
  <si>
    <t>MASA ESTELYA (FYZ)</t>
  </si>
  <si>
    <t>MASA LAK 80*130  X AYAK SÜRGÜLÜ LAGİNA/GRİ</t>
  </si>
  <si>
    <t>MASA MDF KELEBEK GARDİON GRİ MERMER</t>
  </si>
  <si>
    <t>MASA MDF KELEBEK CARARA BEYAZ MERMER</t>
  </si>
  <si>
    <t>MASA MDF KELEBEK DÜZ BEYAZ</t>
  </si>
  <si>
    <t>MASA MDF KELEBEK SİYAH MERMER</t>
  </si>
  <si>
    <t>MASA MDF KELEBEK CEVİZ</t>
  </si>
  <si>
    <t>MASA MDF KELEBEK A.ÇAM</t>
  </si>
  <si>
    <t>MASA SUNTA SABİT 70*110 SONOMO</t>
  </si>
  <si>
    <t>MASA SUNTA SABİT 70*110 SİYAH MERMER</t>
  </si>
  <si>
    <t>MASA SUNTA SABİT 70*110 DÜZ BEYAZ</t>
  </si>
  <si>
    <t>MASA SUNTA SABİT 70*110 MARMO BEYAZ MERMER</t>
  </si>
  <si>
    <t>TOST MAKİNESİ ESSENCE</t>
  </si>
  <si>
    <t>3 LÜ KOLLEKTÖR</t>
  </si>
  <si>
    <t>GAZ ALARM CİHAZI</t>
  </si>
  <si>
    <t>MASA SİLVA SABİT OFLU</t>
  </si>
  <si>
    <t>SEKRETER KOLTUĞU ATLAS MÜDÜR</t>
  </si>
  <si>
    <t>SÜPÜRGE FANTOM PRATİC-S P 1200 KURU</t>
  </si>
  <si>
    <t>SAÇ KURUTMA MAKİNESİ CVS MİMAS</t>
  </si>
  <si>
    <t>SAÇ KURUTMA MAKİNESİ RAKS KATLANABİLİR RK-1750</t>
  </si>
  <si>
    <t>EPİLATÖR REMİNGTON</t>
  </si>
  <si>
    <t>SAÇ MAŞASI CONTİ</t>
  </si>
  <si>
    <t>ÜTÜ CVS RANGER</t>
  </si>
  <si>
    <t>ÜTÜ FAKİR SKYGO</t>
  </si>
  <si>
    <t>FİLTRE KAHVE MAKİNESİ GOLDMASTER ZİNDE</t>
  </si>
  <si>
    <t>SÜPÜRGE VESTEL LODOS H8000</t>
  </si>
  <si>
    <t>SANDALYE ADA AS HOME 07 SİYAH</t>
  </si>
  <si>
    <t>ASPİRATÖR MİKROLİNE ESKİ TİP</t>
  </si>
  <si>
    <t>METAL BAHÇE TEKLİ (ÖMÜR)</t>
  </si>
  <si>
    <t>METAL BAHÇE ÇİFTLİ (ÖMÜR)</t>
  </si>
  <si>
    <t>METAL BAHÇE ÜÇLÜ (ÖMÜR)</t>
  </si>
  <si>
    <t>UFO UĞUR MİKATRONİK ISISTICI 2000W</t>
  </si>
  <si>
    <t>MASA MDF KELEBEK SONOMO</t>
  </si>
  <si>
    <t>MASA MDF KELEBEK DÜZ KRİSTAL</t>
  </si>
  <si>
    <t>MASA MDF X AYAK SÜRGÜLÜ MARMO CANIPEK</t>
  </si>
  <si>
    <t>MASA MDF X AYAK SÜRGÜLÜ CORDİON CANIPEK</t>
  </si>
  <si>
    <t>MASA MDF X AYAK SÜRGÜLÜ İRONİ CANIPEK</t>
  </si>
  <si>
    <t>MASA 70*110 BAHÇE SET</t>
  </si>
  <si>
    <t>MASA SUNTA KELEBEK</t>
  </si>
  <si>
    <t>YAŞAM 4+1 AHŞAP PİZZA ALFA</t>
  </si>
  <si>
    <t>KAYSERİ ALÜMİNYUM HAVUZ</t>
  </si>
  <si>
    <t>SOFRA 80 LİK</t>
  </si>
  <si>
    <t>SANDALYE LEKSUZ</t>
  </si>
  <si>
    <t>SANDALYE LAV (YSF)</t>
  </si>
  <si>
    <t>YAŞAM 4+1 SET AHŞAP ODABAŞI</t>
  </si>
  <si>
    <t>DİKSAN KAMP OCAK AYGAZ</t>
  </si>
  <si>
    <t>DİKSAN KAMP OCAK İPRA</t>
  </si>
  <si>
    <t>SEBİL SUNDAY</t>
  </si>
  <si>
    <t>SÜT MAKİNESİ ARSAN 140 LT ELEKTRİKLİ</t>
  </si>
  <si>
    <t>ZİGON HİLAL TEKERLEKLİ NİKEL (MSSN)</t>
  </si>
  <si>
    <t>BLENDER SET FAKİR MR CHEFF QUADRO</t>
  </si>
  <si>
    <t>SÜPÜRGE BASTON FAKİR REMATRİX</t>
  </si>
  <si>
    <t>SÜPÜRGE BASTON FAKİR RODY</t>
  </si>
  <si>
    <t>SÜPÜRGE BASTON FANTOM MAGIC P3000</t>
  </si>
  <si>
    <t>SÜPÜRGE BASTON RANGE DAILYCLEANİNG</t>
  </si>
  <si>
    <t>SÜPÜRGE BASTON SAREX SMORTY</t>
  </si>
  <si>
    <t>BLENDER CONTİ ÇUBUK BLADER</t>
  </si>
  <si>
    <t>ŞOFBEN FAKİR OLYMPUS THERMO ELEKTRİK</t>
  </si>
  <si>
    <t>KAHVE MAKİNESİ SAREX KAVRUK ÇELİK CEZVE</t>
  </si>
  <si>
    <t>KAHVE MAKİNESİ CVS HARMONİ DN19820</t>
  </si>
  <si>
    <t>KAHVE MAKİNESİ FAKİR KAAVE PLUS</t>
  </si>
  <si>
    <t>BLENDER RANGE SB-2321 KİŞİSEL BLENDER</t>
  </si>
  <si>
    <t>BLENDER RANGE SİLVİNO ÇUBUK BLENDER</t>
  </si>
  <si>
    <t>QUARTZ SOBA DAİLMOND AYAK ALTI</t>
  </si>
  <si>
    <t>QUARTZ SOBA HOOK AYAZ 3 ÇBK MİNİ</t>
  </si>
  <si>
    <t>QUARTZ SOBA HOOK GÜNEŞ 2 ÇBK MİNİ</t>
  </si>
  <si>
    <t>QUARTZ SOBA MİNİSAN DP 1200W AYAK ALTI SOBA</t>
  </si>
  <si>
    <t>QUARTZ SOBA ONİX AYAK ALTI (GARANTİSİZ)</t>
  </si>
  <si>
    <t>SANDALYE GOLD JR AS HOME KREM</t>
  </si>
  <si>
    <t>SANDALYE ALYA BF AS HOME KREM</t>
  </si>
  <si>
    <t>SANDALYE LİYA KAPİTONELİ AS HOME</t>
  </si>
  <si>
    <t>ÇALIŞMA MASASI (İST)</t>
  </si>
  <si>
    <t>DOLAP 6 KAPAKLI 210CM  (İST)</t>
  </si>
  <si>
    <t>SANDALYE GOLD JR AS HOME GRİ</t>
  </si>
  <si>
    <t>SANDALYE GOLD JR AS HOME GÜL KURUSU</t>
  </si>
  <si>
    <t>SANDALYE GOLD JR AS HOME LACİVERT</t>
  </si>
  <si>
    <t>SANDALYE GOLD JR AS HOME SARI</t>
  </si>
  <si>
    <t>SANDALYE GOLD JR AS HOME YEŞİL</t>
  </si>
  <si>
    <t>KOMİDİN (İST)</t>
  </si>
  <si>
    <t>ŞİFONYER AYNALI (İST)</t>
  </si>
  <si>
    <t>DOLAP 4 KAPAKLI 160CM (PYRZ)</t>
  </si>
  <si>
    <t>KİLER DOLABI (PYRZ)</t>
  </si>
  <si>
    <t>AYAKKABILIK AHŞAP (İST)</t>
  </si>
  <si>
    <t>DOLAP 3 LÜ LÜKS RETRO (PYRZ)</t>
  </si>
  <si>
    <t>ZİGON WOOD ( PYRZ)</t>
  </si>
  <si>
    <t>ZİGON 4 LÜ TERLEKLİ (PYRZ)</t>
  </si>
  <si>
    <t>ÇALIŞMA MASASI RETRO (PYRZ)</t>
  </si>
  <si>
    <t>VESTİYER RETRO (PYRZ)</t>
  </si>
  <si>
    <t>DOLAP 4 KAPAKLI ECRİN (PYRZ)</t>
  </si>
  <si>
    <t>DOLAP 4 KAPAKLI BERFİN (PYRZ)</t>
  </si>
  <si>
    <t>DOLAP 3 KAPAKLI RETRO (PYRZ)</t>
  </si>
  <si>
    <t>DOLAP 4 KAPAKLI RETRO (PYRZ)</t>
  </si>
  <si>
    <t>DOLAP 4 KAPAKLI 160CM (İST)</t>
  </si>
  <si>
    <t>DOLAP 3 KAPAKLI (İST)</t>
  </si>
  <si>
    <t>DOLAP 2 KAPAKLI  (İST)</t>
  </si>
  <si>
    <t>KİLER DOLABI KAPAKLI BOY (İST)</t>
  </si>
  <si>
    <t>KİLER DOLABI ÇEKMECELİ (İST)</t>
  </si>
  <si>
    <t>BİLGİSAYAR-ÇALIŞMA MASASI KÜTÜPHANELİ (İST)</t>
  </si>
  <si>
    <t>VESTİYER (İST)</t>
  </si>
  <si>
    <t>KİTAPLIK RETRO (PYRZ)</t>
  </si>
  <si>
    <t>MASA KATLANIR 50*70 VERZALİT</t>
  </si>
  <si>
    <t>TABURE PLASTİK BÜYÜK</t>
  </si>
  <si>
    <t>TABURE PLASTİK ORTA BOY 33CM</t>
  </si>
  <si>
    <t>NURGAZ SİYAH BOYALI KAMP OCAK AYGAZ</t>
  </si>
  <si>
    <t>NURGAZ SİYAH BOYALI KAMP OCAK İPRA</t>
  </si>
  <si>
    <t>NURGAZ NG-503 TORCH PÜRMÜZ</t>
  </si>
  <si>
    <t>AYGAZ/PİKNİK CONTA</t>
  </si>
  <si>
    <t>DANA KUYRUĞU 1/2</t>
  </si>
  <si>
    <t>kea</t>
  </si>
  <si>
    <t>tup</t>
  </si>
  <si>
    <t>mssz</t>
  </si>
  <si>
    <t>mobilya</t>
  </si>
  <si>
    <t>endustriyel</t>
  </si>
  <si>
    <t>mobilya/bekleme_koltugu_ikili_sila.jpg</t>
  </si>
  <si>
    <t>mobilya/bekleme_koltugu_tekli_sila.jpg</t>
  </si>
  <si>
    <t>endustriyel/cay_ocagi_kaplanli_10'luk_dg.jpg</t>
  </si>
  <si>
    <t>endustriyel/cay_ocagi_kaplanli_10'luk_lpg.jpg</t>
  </si>
  <si>
    <t>endustriyel/kazan_kaplanli_10'luk_duz_elektrikli.jpg</t>
  </si>
  <si>
    <t>endustriyel/kazan_kaplanli_10'luk_tek.jpg</t>
  </si>
  <si>
    <t>endustriyel/cay_ocagi_kaplanli_20'lik_dg.jpg</t>
  </si>
  <si>
    <t>endustriyel/cay_ocagi_kaplanli_20'lik_lpg.jpg</t>
  </si>
  <si>
    <t>endustriyel/kazan_kaplanli_20'lik_duz_elektrikli.jpg</t>
  </si>
  <si>
    <t>endustriyel/kazan_kaplanli_20'lik_elektrikli_takim.jpg</t>
  </si>
  <si>
    <t>endustriyel/kazan_kaplanli_20'lik_tek.jpg</t>
  </si>
  <si>
    <t>endustriyel/kazan_kaplanli_30'luk_duz_elektrikli.jpg</t>
  </si>
  <si>
    <t>endustriyel/kazan_kaplanli_30'luk_elktrikli_takim.jpg</t>
  </si>
  <si>
    <t>endustriyel/kazan_kaplanli_30'luk_tek.jpg</t>
  </si>
  <si>
    <t>endustriyel/kazan_kaplanli_40'lik_duz_elektrikli.jpg</t>
  </si>
  <si>
    <t>endustriyel/kazan_kaplanli_40'lik_elktrikli_takim.jpg</t>
  </si>
  <si>
    <t>endustriyel/kazan_kaplanli_40'lik_tek.jpg</t>
  </si>
  <si>
    <t>endustriyel/cay_ocagi_kaplanli_55'lik_dg.jpg</t>
  </si>
  <si>
    <t>endustriyel/cay_ocagi_kaplanli_55'lik_lpg.jpg</t>
  </si>
  <si>
    <t>endustriyel/kazan_kaplanli_55'lik_duz_elektirkli.jpg</t>
  </si>
  <si>
    <t>endustriyel/kazan_kaplanli_55'lik_elektrikli_tuplu.jpg</t>
  </si>
  <si>
    <t>endustriyel/kazan_kaplanli_55'lik_elektrikli_takim_.jpg</t>
  </si>
  <si>
    <t>endustriyel/kazan_kaplanli_55'lik_tek.jpg</t>
  </si>
  <si>
    <t>endustriyel/fritoz_ciftli_elektrikli_3+3_lt.jpg</t>
  </si>
  <si>
    <t>endustriyel/fritoz_ciftli_elektrikli_5+5_lt.jpg</t>
  </si>
  <si>
    <t>endustriyel/tost_makinesi_kaplanli_12_dilim_elektrikli.jpg</t>
  </si>
  <si>
    <t>endustriyel/tost_makinesi_kaplanli_20_dilim_elektrikli.jpg</t>
  </si>
  <si>
    <t>endustriyel/tost_makinesi_kaplanli_24_dilim_elektrikli.jpg</t>
  </si>
  <si>
    <t>endustriyel/doner_ocagi_kaplanli_2'li_gaz_emniyetli.jpg</t>
  </si>
  <si>
    <t>endustriyel/doner_ocagi_kaplanli_3'lu_gaz_emniyetsiz.jpg</t>
  </si>
  <si>
    <t>endustriyel/doner_ocagi_kaplanli_4'lu_gaz_emniyetli.jpg</t>
  </si>
  <si>
    <t>endustriyel/tost_makinesi_kaplanli_8_dilim_elektrikli.jpg</t>
  </si>
  <si>
    <t>endustriyel/kaplanli_pleyt_izgara_70_cm_hamburger_kofte.jpg</t>
  </si>
  <si>
    <t>endustriyel/lokanta_ocagi_2'li_kisa_ayak_lpg.jpg</t>
  </si>
  <si>
    <t>endustriyel/lokanta_ocagi_2'li_uzun_ayak.jpg</t>
  </si>
  <si>
    <t>endustriyel/lokanta_ocagi_3'lu_kisa_ayak_lpg.jpg</t>
  </si>
  <si>
    <t>endustriyel/lokanta_ocagi_3'lu_uzun_ayak.jpg</t>
  </si>
  <si>
    <t>endustriyel/lokanta_ocagi_tekli_uzun_ayak.jpg</t>
  </si>
  <si>
    <t>endustriyel/doner_ocagi_tekli.jpg</t>
  </si>
  <si>
    <t>endustriyel/fritoz_tekli_elektrikli_3_lt.jpg</t>
  </si>
  <si>
    <t>endustriyel/fritoz_tekli_elektrikli_5_lt.jpg</t>
  </si>
  <si>
    <t>endustriyel/kaplanli_pleyt_izgara_50cm_lpg_hamburger_kofte.jpg</t>
  </si>
  <si>
    <t>endustriyel/kaplanli_pleyt_30cm_elkt_tekli_kofte_ocagi.jpg</t>
  </si>
  <si>
    <t>endustriyel/kaplanli_tekli_kofte_ocagi_lpg_30cm_pik_izgara.jpg</t>
  </si>
  <si>
    <t>endustriyel/doner_ocagi_kaplanli_3!lu_gaz_emniyetli.jpg</t>
  </si>
  <si>
    <t>endustriyel/kazan_kaplanli_20'lik_elektrikli_tuplu.jpg</t>
  </si>
  <si>
    <t>endustriyel/kazan_kaplanli_30'lik_elektrikli_tuplu.jpg</t>
  </si>
  <si>
    <t>endustriyel/kazan_kaplanli_40'lik_elektrikli_tuplu.jpg</t>
  </si>
  <si>
    <t>endustriyel/lokanta_ocagi_3'lu_kisa_ayak_dg.jpg</t>
  </si>
  <si>
    <t>kea/firin_akel_af007b_yuvarlak_buyuk.jpg</t>
  </si>
  <si>
    <t>kea/firin_akel_af010_yuvarlak.jpg</t>
  </si>
  <si>
    <t>kea/firin_akel_af140_donerli.jpg</t>
  </si>
  <si>
    <t>kea/tost_makinesi_aksu_granit_grill.jpg</t>
  </si>
  <si>
    <t>kea/tost_makinesi_aksu_gross.jpg</t>
  </si>
  <si>
    <t>kea/tost_makinesi_aksu_gusto.jpg</t>
  </si>
  <si>
    <t>kea/tost_makinesi_aksu_kengrill.jpg</t>
  </si>
  <si>
    <t>kea/tost_makinesi_aksu_tostadoy_granit.jpg</t>
  </si>
  <si>
    <t>kea/waffle_makinesi_aksu.jpg</t>
  </si>
  <si>
    <t>kea/alyans_2_li_ocak_lpg.jpg</t>
  </si>
  <si>
    <t>kea/alyans_2_li_ocak_dogalgaz.jpg</t>
  </si>
  <si>
    <t>kea/alyans_3_lu_ocak_dogalgazli.jpg</t>
  </si>
  <si>
    <t>kea/alyans_3_lu_ocak_lpg.jpg</t>
  </si>
  <si>
    <t>kea/alyans_4_lu_ocak_dogalgazli_beyaz.jpg</t>
  </si>
  <si>
    <t>kea/alyans_4_lu_ocak_dogalgazli_siyah.jpg</t>
  </si>
  <si>
    <t>kea/alyans_4_lu_ocak_lpg_beyaz.jpg</t>
  </si>
  <si>
    <t>kea/alyans_4_lu_ocak_lpg_siyah.jpg</t>
  </si>
  <si>
    <t>kea/alyans_tekli_ocak.jpg</t>
  </si>
  <si>
    <t>kea/mikrodalga_firin_arcelik_gri.jpg</t>
  </si>
  <si>
    <t>kea/mikrodalga_firin_arcelik_siyah.jpg</t>
  </si>
  <si>
    <t>kea/ari_3_lu_ocak_lpg.jpg</t>
  </si>
  <si>
    <t>kea/semaver_armagan_100_bardak.jpg</t>
  </si>
  <si>
    <t>kea/arnel_4'lu_ffd_cakmakli_dg.jpg</t>
  </si>
  <si>
    <t>kea/arnel_4'lu_ffd_cakmali_lpg.jpg</t>
  </si>
  <si>
    <t>kea/tost_makinesi_arnica_ayvalik.jpg</t>
  </si>
  <si>
    <t>kea/blender_set_arnica_diva_pro.jpg</t>
  </si>
  <si>
    <t>kea/blender_set_arnica_diva_trendy.jpg</t>
  </si>
  <si>
    <t>kea/meyve_sikacagi_arnica_ekovita_plus_kati.jpg</t>
  </si>
  <si>
    <t>kea/kahve_makinesi_arnica_kopuklu_otomatik.jpg</t>
  </si>
  <si>
    <t>kea/supurge_arnica_lotus_toz_torbali.jpg</t>
  </si>
  <si>
    <t>kea/supurge_arnica_mila_toz_torbasiz_14441.jpg</t>
  </si>
  <si>
    <t>kea/mutfak_robotu_arnica_prokit_444_mini.jpg</t>
  </si>
  <si>
    <t>kea/mutfak_robotu_arnica_prokit_444_plus.jpg</t>
  </si>
  <si>
    <t>kea/rondo_arnica_rapid_mini.jpg</t>
  </si>
  <si>
    <t>kea/rondo_arnica_rapid_plus.jpg</t>
  </si>
  <si>
    <t>kea/rondo_arnica_rapid_pro.jpg</t>
  </si>
  <si>
    <t>kea/supurge_arnica_tayfun_islak_kuru.jpg</t>
  </si>
  <si>
    <t>kea/supurge_arnica_tesla_premium_torbasiz_et14300.jpg</t>
  </si>
  <si>
    <t>kea/supurge_arnica_tesla_toz_torbasiz_et14310.jpg</t>
  </si>
  <si>
    <t>kea/sut_makinesi_arsan_140_lt_elektrikli.jpg</t>
  </si>
  <si>
    <t>kea/sut_makinesi_asya_100_lt_elektrikli.jpg</t>
  </si>
  <si>
    <t>kea/sut_makinesi_asya_100_luk_kollu.jpg</t>
  </si>
  <si>
    <t>kea/sut_makinesi_asya_140_lt_elektrikli.jpg</t>
  </si>
  <si>
    <t>kea/sut_makinesi_asya_140_lik_kollu.jpg</t>
  </si>
  <si>
    <t>kea/sut_makinesi_asya_85_lik_kollu.jpg</t>
  </si>
  <si>
    <t>kea/epilator_braun_1170.jpg</t>
  </si>
  <si>
    <t>kea/epilator_braun_silk_epil_3_3170.jpg</t>
  </si>
  <si>
    <t>kea/epilator_braun_silk_epil_3_3420.jpg</t>
  </si>
  <si>
    <t>kea/kettle_conti_aqua_celik.jpg</t>
  </si>
  <si>
    <t>kea/kettle_conti_celik_kettle_aqua_red.jpg</t>
  </si>
  <si>
    <t>kea/kettle_conti_kristal_celik_kettle.jpg</t>
  </si>
  <si>
    <t>kea/supurge_conti_starlife_kablo_sarmali.jpg</t>
  </si>
  <si>
    <t>kea/ufo_cvs_(2500w).jpg</t>
  </si>
  <si>
    <t>kea/barbeku_cvs_alevli.jpg</t>
  </si>
  <si>
    <t>kea/mikser_cvs_handmix_el_mikseri.jpg</t>
  </si>
  <si>
    <t>kea/kahve_makinesi_cvs_harmoni_dn19820.jpg</t>
  </si>
  <si>
    <t>kea/izgara_cvs_kebapci_elektrikli.jpg</t>
  </si>
  <si>
    <t>kea/blender_set_cvs_monoplus.jpg</t>
  </si>
  <si>
    <t>kea/ankastre_set_cvs_siyah_cam.jpg</t>
  </si>
  <si>
    <t>kea/firin_cvs_toprak_yuvarlak.jpg</t>
  </si>
  <si>
    <t>kea/quartz_soba_dailmond_ayak_alti.jpg</t>
  </si>
  <si>
    <t>kea/mikrodalga_firin_dijitsu_md10_beyaz.jpg</t>
  </si>
  <si>
    <t>kea/mikrodalga_firin_dijitsu_md25_siyah.jpg</t>
  </si>
  <si>
    <t>kea/euroline_4_lu_ocak.jpg</t>
  </si>
  <si>
    <t>kea/sac_kesme_makinesi_fakir_bossy.jpg</t>
  </si>
  <si>
    <t>kea/sac_kurutma_makinesi_fakir_gloria.jpg</t>
  </si>
  <si>
    <t>kea/kahve_makinesi_fakir_kaave_plus.jpg</t>
  </si>
  <si>
    <t>kea/blender_set_fakir_mr_cheff_quadro.jpg</t>
  </si>
  <si>
    <t>kea/sac_kurutma_makinesi_fakir_noble.jpg</t>
  </si>
  <si>
    <t>kea/baskul_fakir_nora_cam.jpg</t>
  </si>
  <si>
    <t>kea/sac_kurutma_makinesi_fakir_brise.jpg</t>
  </si>
  <si>
    <t>kea/sac_kurutma_makinesi_fakir_angelica.jpg</t>
  </si>
  <si>
    <t>kea/sac_kurutma_makinesi_fakir_norte.jpg</t>
  </si>
  <si>
    <t>kea/supurge_fakir_ranger_electronik.jpg</t>
  </si>
  <si>
    <t>kea/supurge_baston_fakir_rematrix.jpg</t>
  </si>
  <si>
    <t>kea/supurge_baston_fakir_rody.jpg</t>
  </si>
  <si>
    <t>kea/supurge_fakir_veyron_pro.jpg</t>
  </si>
  <si>
    <t>kea/blender_fakir_trinity_3_lu_set.jpg</t>
  </si>
  <si>
    <t>kea/utu_fakir_flyjet.jpg</t>
  </si>
  <si>
    <t>kea/utu_fakir_galaxis_2200w.jpg</t>
  </si>
  <si>
    <t>kea/utu_fakir_spring_gul_kurusu.jpg</t>
  </si>
  <si>
    <t>kea/utu_fakir_vetacare_buhar_jenaratorlu.jpg</t>
  </si>
  <si>
    <t>kea/supurge_fantom_2700_islak_kuru.jpg</t>
  </si>
  <si>
    <t>kea/supurge_baston_fantom_magic_p3000.jpg</t>
  </si>
  <si>
    <t>kea/ferre_4_lu_set_ustu_ocak_lpg.jpg</t>
  </si>
  <si>
    <t>kea/ankastre_set_ferre_grande_siyah.jpg</t>
  </si>
  <si>
    <t>kea/ankastre_set_ferre_havai_siyah.jpg</t>
  </si>
  <si>
    <t>kea/ankastre_set_ferre_lizbon_siyah.jpg</t>
  </si>
  <si>
    <t>kea/supurge_fisher_nuvo_sulu.jpg</t>
  </si>
  <si>
    <t>kea/utu_goldmaster_7613_maxipress.jpg</t>
  </si>
  <si>
    <t>kea/utu_goldmaster_7615_vals.jpg</t>
  </si>
  <si>
    <t>kea/utu_goldmaster_7618_airjet.jpg</t>
  </si>
  <si>
    <t>kea/aski_aparati_hook_32".jpg</t>
  </si>
  <si>
    <t>kea/quartz_soba_hook_ayaz_3_cbk_mini.jpg</t>
  </si>
  <si>
    <t>kea/ufo_hook_blaze_dik.jpg</t>
  </si>
  <si>
    <t>kea/aski_aparati_hook_kollu.jpg</t>
  </si>
  <si>
    <t>kea/kettle_hook_troya.jpg</t>
  </si>
  <si>
    <t>kea/semaver_imza_120_bardak.jpg</t>
  </si>
  <si>
    <t>kea/semaver_imza_160_bardak.jpg</t>
  </si>
  <si>
    <t>kea/semaver_imza_250_bardak.jpg</t>
  </si>
  <si>
    <t>kea/semaver_imza_30_bardak.jpg</t>
  </si>
  <si>
    <t>kea/semaver_imza_350_bardak.jpg</t>
  </si>
  <si>
    <t>kea/semaver_imza_50_bardak.jpg</t>
  </si>
  <si>
    <t>kea/semaver_imza_80_bardak.jpg</t>
  </si>
  <si>
    <t>kea/semaver_kaplanli_160_bardak.jpg</t>
  </si>
  <si>
    <t>kea/semaver_kaplanli_250_bardak.jpg</t>
  </si>
  <si>
    <t>kea/semaver_kaplanli_40_bardak.jpg</t>
  </si>
  <si>
    <t>kea/semaver_kaplanli_60_bardak.jpg</t>
  </si>
  <si>
    <t>kea/semaver_kaplanli_80_bardak.jpg</t>
  </si>
  <si>
    <t>kea/sac_kurutma_makinesi_king_linna.jpg</t>
  </si>
  <si>
    <t>kea/lavicco_2_'li_emniyetli_ocak_.jpg</t>
  </si>
  <si>
    <t>kea/katmer_saci_lavicco.jpg</t>
  </si>
  <si>
    <t>kea/yagli_radyator_marsstar_11_dilim_fanli.jpg</t>
  </si>
  <si>
    <t>kea/aspirator_maximus.jpg</t>
  </si>
  <si>
    <t>kea/aspirator_mikroline.jpg</t>
  </si>
  <si>
    <t>kea/minisan_(3+1)_pleytli_ocak_ustten_dugmeli.jpg</t>
  </si>
  <si>
    <t>kea/ufo_minisan_2000w_ufo.jpg</t>
  </si>
  <si>
    <t>kea/ufo_minisan_2600w.jpg</t>
  </si>
  <si>
    <t>kea/minisan_3+1_pleytli_cakmakli_klasik_ocak.jpg</t>
  </si>
  <si>
    <t>kea/ufo_minisan_3000w.jpg</t>
  </si>
  <si>
    <t>kea/minisan_ankastre_emaye_ocak.jpg</t>
  </si>
  <si>
    <t>kea/ufo_minisan_ar_2002_2900w_cift_flementli.jpg</t>
  </si>
  <si>
    <t>kea/ufo_minisan_ar_3000w_cift_flementli.jpg</t>
  </si>
  <si>
    <t>kea/minisan_ciftli_pleytli.jpg</t>
  </si>
  <si>
    <t>kea/quartz_soba_minisan_dp_1200w_ayak_alti_soba.jpg</t>
  </si>
  <si>
    <t>kea/quartz_soba_minisan_maxi_2500w_buharli.jpg</t>
  </si>
  <si>
    <t>kea/quartz_soba_minisan_midi_2100w_buharli.jpg</t>
  </si>
  <si>
    <t>kea/minisan_tekli_pleytli_1500w.jpg</t>
  </si>
  <si>
    <t>kea/quartz_soba_onix_ayak_alti_(garantisiz).jpg</t>
  </si>
  <si>
    <t>kea/semaver_pegasus_buyuk_boy_elektrikli_.jpg</t>
  </si>
  <si>
    <t>kea/semaver_pegasus_kucuk_boy_elektrikli_(6).jpg</t>
  </si>
  <si>
    <t>kea/utu_philips_azur_2800w.jpg</t>
  </si>
  <si>
    <t>kea/mikser_philips_3000_serisi.jpg</t>
  </si>
  <si>
    <t>kea/utu_philips_essential_buhar_kazanli.jpg</t>
  </si>
  <si>
    <t>kea/supurge_philips_powerpro_city.jpg</t>
  </si>
  <si>
    <t>kea/fon_makinesi_powertech.jpg</t>
  </si>
  <si>
    <t>kea/sac_kurutma_makinesi_raks_mira.jpg</t>
  </si>
  <si>
    <t>kea/sac_kurutma_makinesi_raks_loris.jpg</t>
  </si>
  <si>
    <t>kea/sac_kurutma_makinesi_raks_nora.jpg</t>
  </si>
  <si>
    <t>kea/supurge_range_broom_premium.jpg</t>
  </si>
  <si>
    <t>kea/supurge_baston_range_dailycleaning.jpg</t>
  </si>
  <si>
    <t>kea/blender_range_silvino_cubuk_blender.jpg</t>
  </si>
  <si>
    <t>kea/sac_kurutma_makinesi_range_style.jpg</t>
  </si>
  <si>
    <t>kea/supurge_baston_sarex_smorty.jpg</t>
  </si>
  <si>
    <t>kea/kahve_makinesi_sarex_kavruk_celik_cezve.jpg</t>
  </si>
  <si>
    <t>kea/sac_kurutma_makinesi_sarex_emily.jpg</t>
  </si>
  <si>
    <t>kea/sac_kurutma_makinesi_sarex_lina.jpg</t>
  </si>
  <si>
    <t>kea/pizza_tavasi_sarex_gurme_elktrikli.jpg</t>
  </si>
  <si>
    <t>kea/mikser_sarex_vision.jpg</t>
  </si>
  <si>
    <t>kea/ceyiz_paketi_sem_caka.jpg</t>
  </si>
  <si>
    <t>kea/aski_aparati_skytech__32''.jpg</t>
  </si>
  <si>
    <t>kea/utu_stilevs_jettmax_nano_seramik_lila.jpg</t>
  </si>
  <si>
    <t>kea/blender_set_stilevs_limitless.jpg</t>
  </si>
  <si>
    <t>kea/sac_kurutma_makinesi_stilevs_fonmatik_fn978.jpg</t>
  </si>
  <si>
    <t>kea/tost_makinesi_stilevs_tost_x.jpg</t>
  </si>
  <si>
    <t>kea/utu_tefal_easygliss_plus_2700w_5770.jpg</t>
  </si>
  <si>
    <t>kea/troya_tr519_hava_sogutucu_mobil_klima.jpg</t>
  </si>
  <si>
    <t>kea/ufo_ayak_aliminyum.jpg</t>
  </si>
  <si>
    <t>kea/ufo_ayagi_metal_.jpg</t>
  </si>
  <si>
    <t>kea/ufo_ayagi_teleskopik.jpg</t>
  </si>
  <si>
    <t>kea/firin_ugur_buyuk_boy_yuvarlak_termostatli.jpg</t>
  </si>
  <si>
    <t>kea/katmer_saci_ugur.jpg</t>
  </si>
  <si>
    <t>kea/katmer_saci_ugur_buyuk.jpg</t>
  </si>
  <si>
    <t>kea/firin_ugur_yuvarlak_termostatli.jpg</t>
  </si>
  <si>
    <t>kea/utu_masasi_dailmond_deniz.jpg</t>
  </si>
  <si>
    <t>kea/utu_masasi_dailmond_emir.jpg</t>
  </si>
  <si>
    <t>kea/askilik.jpg</t>
  </si>
  <si>
    <t>kea/askilik_ciftli.jpg</t>
  </si>
  <si>
    <t>kea/kurutmalik_mercan.jpg</t>
  </si>
  <si>
    <t>kea/tarcin_hamak.jpg</t>
  </si>
  <si>
    <t>kea/elektrikli_sac_emaye_kayseri.jpg</t>
  </si>
  <si>
    <t>kea/erendemir_granit_tava.jpg</t>
  </si>
  <si>
    <t>kea/fanli_isitici_hook.jpg</t>
  </si>
  <si>
    <t>kea/semaver_kaplanli_120_bardak.jpg</t>
  </si>
  <si>
    <t>kea/cay_makinesi_hook_hk509.jpg</t>
  </si>
  <si>
    <t>kea/cay_makinesi_fantom_cy_1500.jpg</t>
  </si>
  <si>
    <t>kea/cay_makinesi_range_rangtea.jpg</t>
  </si>
  <si>
    <t>kea/filtre_kahve_makinesi_sunny_morning.jpg</t>
  </si>
  <si>
    <t>kea/semaver_cakir_celik_80_bardak.jpg</t>
  </si>
  <si>
    <t>kea/semaver_cakir_celik_140_bardak.jpg</t>
  </si>
  <si>
    <t>kea/semaver_cakir_celik_50_bardak.jpg</t>
  </si>
  <si>
    <t>kea/televizyon_telefunken_55"_55tu7560ua.jpg</t>
  </si>
  <si>
    <t>kea/supurge_fantom_technovac_tr_8700.jpg</t>
  </si>
  <si>
    <t>kea/supurge_stilevs_maxtron.jpg</t>
  </si>
  <si>
    <t>kea/baskul_fakir_hercules.jpg</t>
  </si>
  <si>
    <t>kea/sac_kurutma_makinesi_fakir_advance_dry_pro.jpg</t>
  </si>
  <si>
    <t>kea/sac_kurutma_makinesi_fakir_roseline.jpg</t>
  </si>
  <si>
    <t>kea/blender_conti_cubuk_blader.jpg</t>
  </si>
  <si>
    <t>kea/blender_set_sarex_elite_mix.jpg</t>
  </si>
  <si>
    <t>kea/sac_kurutma_makinesi_awox_fold.jpg</t>
  </si>
  <si>
    <t>kea/katmer_saci_optimum_termostatli.jpg</t>
  </si>
  <si>
    <t>kea/firin_minisan_midi_40_lt.jpg</t>
  </si>
  <si>
    <t>kea/sebil_awox_rosso_aritmali.jpg</t>
  </si>
  <si>
    <t>kea/sebil_awox_snow_duz.jpg</t>
  </si>
  <si>
    <t>kea/aski_aparati_merttug_42".jpg</t>
  </si>
  <si>
    <t>kea/ranza_iki_katli.jpg</t>
  </si>
  <si>
    <t>kea/tost_makinesi_arnel_dokum.jpg</t>
  </si>
  <si>
    <t>kea/davlumbaz_luxell_beyaz_cam.jpg</t>
  </si>
  <si>
    <t>kea/tost_makinesi_essence.jpg</t>
  </si>
  <si>
    <t>kea/sebil_sunday.jpg</t>
  </si>
  <si>
    <t>kea/sac_kurutma_makinesi_cvs_mimas.jpg</t>
  </si>
  <si>
    <t>kea/epilator_remington.jpg</t>
  </si>
  <si>
    <t>kea/utu_cvs_ranger.jpg</t>
  </si>
  <si>
    <t>kea/utu_fakir_skygo.jpg</t>
  </si>
  <si>
    <t>kea/filtre_kahve_makinesi_goldmaster_zinde.jpg</t>
  </si>
  <si>
    <t>kea/supurge_vestel_lodos_h8000.jpg</t>
  </si>
  <si>
    <t>kea/aspirator_mikroline_eski_tip.jpg</t>
  </si>
  <si>
    <t>kea/ufo_ugur_mikatronik_isistici_2000w.jpg</t>
  </si>
  <si>
    <t>kea/sofra_80_lik.jpg</t>
  </si>
  <si>
    <t>mobilya/cay_seti_papatya.jpg</t>
  </si>
  <si>
    <t>mobilya/ekmeklik_tekli_baskili.jpg</t>
  </si>
  <si>
    <t>mobilya/ekmeklik_tekli_duz.jpg</t>
  </si>
  <si>
    <t>mobilya/salincak_ciftli_bitatek.jpg</t>
  </si>
  <si>
    <t>mobilya/salincak_rattan_citli.jpg</t>
  </si>
  <si>
    <t>mobilya/salincak_tekli_bitatek.jpg</t>
  </si>
  <si>
    <t>mobilya/sandalye_plastik_bambu_cappucino_(atlantis).jpg</t>
  </si>
  <si>
    <t>mobilya/sandalye_plastik_bambu_kahve_(atlantis).jpg</t>
  </si>
  <si>
    <t>mobilya/sandalye_plastik_rattan_hilton_cappucino.jpg</t>
  </si>
  <si>
    <t>mobilya/sandalye_plastik_rattan_paris.jpg</t>
  </si>
  <si>
    <t>mobilya/sekreter_koltugu_alya.jpg</t>
  </si>
  <si>
    <t>mobilya/sekreter_koltugu_bello.jpg</t>
  </si>
  <si>
    <t>mobilya/sekreter_koltugu_cizgi_mudur.jpg</t>
  </si>
  <si>
    <t>mobilya/sekreter_koltugu_erciyes_mudur.jpg</t>
  </si>
  <si>
    <t>mobilya/sekreter_koltugu_evo_hareketli_mudur.jpg</t>
  </si>
  <si>
    <t>mobilya/sekreter_koltugu_konfor.jpg</t>
  </si>
  <si>
    <t>mobilya/sekreter_koltugu_mudur_eko.jpg</t>
  </si>
  <si>
    <t>mobilya/sekreter_koltugu_piramit.jpg</t>
  </si>
  <si>
    <t>mobilya/sekreter_koltugu_sila_mudur.jpg</t>
  </si>
  <si>
    <t>mobilya/sekreter_koltugu_uzay.jpg</t>
  </si>
  <si>
    <t>mobilya/sekreter_koltugu_yildiz.jpg</t>
  </si>
  <si>
    <t>mobilya/tv_sehpasi_140_cm_prmt.jpg</t>
  </si>
  <si>
    <t>mobilya/cay_seti_puf_papatya.jpg</t>
  </si>
  <si>
    <t>mobilya/tv_sehpasi_canipek.jpg</t>
  </si>
  <si>
    <t>mobilya/dolap_6_kapakli_210cm__(ist).jpg</t>
  </si>
  <si>
    <t>mobilya/ranza_metal.jpg</t>
  </si>
  <si>
    <t>mobilya/sekreter_koltugu_atlas_mudur.jpg</t>
  </si>
  <si>
    <t>mobilya/metal_bahce_tekli_(omur).jpg</t>
  </si>
  <si>
    <t>mobilya/metal_bahce_ciftli_(omur).jpg</t>
  </si>
  <si>
    <t>mobilya/metal_bahce_uclu_(omur).jpg</t>
  </si>
  <si>
    <t>mobilya/komidin_(ist).jpg</t>
  </si>
  <si>
    <t>mobilya/dolap_4_kapakli_160cm_(pyrz).jpg</t>
  </si>
  <si>
    <t>mobilya/kiler_dolabi_(pyrz).jpg</t>
  </si>
  <si>
    <t>mobilya/dolap_3_lu_luks_retro_(pyrz).jpg</t>
  </si>
  <si>
    <t>mobilya/kitaplik_retro_(pyrz).jpg</t>
  </si>
  <si>
    <t>mobilya/vestiyer_retro_(pyrz).jpg</t>
  </si>
  <si>
    <t>mobilya/dolap_4_kapakli_ecrin_(pyrz).jpg</t>
  </si>
  <si>
    <t>mobilya/dolap_4_kapakli_berfin_(pyrz).jpg</t>
  </si>
  <si>
    <t>mobilya/dolap_3_kapakli_retro_(pyrz).jpg</t>
  </si>
  <si>
    <t>mobilya/dolap_4_kapakli_retro_(pyrz).jpg</t>
  </si>
  <si>
    <t>mobilya/dolap_4_kapakli_160cm_(ist).jpg</t>
  </si>
  <si>
    <t>mobilya/dolap_3_kapakli_(ist).jpg</t>
  </si>
  <si>
    <t>mobilya/dolap_2_kapakli__(ist).jpg</t>
  </si>
  <si>
    <t>mobilya/kiler_dolabi_kapakli_boy_(ist).jpg</t>
  </si>
  <si>
    <t>mobilya/kiler_dolabi_cekmeceli_(ist).jpg</t>
  </si>
  <si>
    <t>mobilya/vestiyer_(ist).jpg</t>
  </si>
  <si>
    <t>mssz/sandalye_bar_sandalyesi_suveren.jpg</t>
  </si>
  <si>
    <t>mssz/masa_katlanir_tekerlekli(yusuf).jpg</t>
  </si>
  <si>
    <t>mssz/masa_ayagi_boyali.jpg</t>
  </si>
  <si>
    <t>mssz/masa_katlanir_40*60_verzalit.jpg</t>
  </si>
  <si>
    <t>mssz/masa_katlanir_50*70_verzalit.jpg</t>
  </si>
  <si>
    <t>mssz/masa_katlanir_60*110_verzalit.jpg</t>
  </si>
  <si>
    <t>mssz/masa_katlanir_60*60_verzalit.jpg</t>
  </si>
  <si>
    <t>mssz/masa_katlanir_60*90_verzalit.jpg</t>
  </si>
  <si>
    <t>mssz/masa_katlanir_80*140_verzalit.jpg</t>
  </si>
  <si>
    <t>mssz/masa_bohem_kocabay.jpg</t>
  </si>
  <si>
    <t>mssz/masa_kutuk_.jpg</t>
  </si>
  <si>
    <t>mssz/masa_lak_80*130__x_ayak_surgulu_ceviz.jpg</t>
  </si>
  <si>
    <t>mssz/masa_mdf_tek_kanat_(bzb).jpg</t>
  </si>
  <si>
    <t>mssz/masa_nova_metal_ayak_fyz.jpg</t>
  </si>
  <si>
    <t>mssz/masa_oliva_fyz.jpg</t>
  </si>
  <si>
    <t>mssz/masa_color_otomatik_soho_(fyz).jpg</t>
  </si>
  <si>
    <t>mssz/masa_x_ayakli_80*130_(bzb).jpg</t>
  </si>
  <si>
    <t>mssz/masa_x_ayakli_90*150_(bzb).jpg</t>
  </si>
  <si>
    <t>mssz/masa_bohem_yuvarlak.jpg</t>
  </si>
  <si>
    <t>mssz/masa_plastik_70*120_teak_kutulu.jpg</t>
  </si>
  <si>
    <t>mssz/masa_plastik_rattan_80*140.jpg</t>
  </si>
  <si>
    <t>mssz/masa_plastik_rattan_90*150_antrasit.jpg</t>
  </si>
  <si>
    <t>mssz/masa_plastik_rattan_90*90.jpg</t>
  </si>
  <si>
    <t>mssz/masa_sunta_sabit_70*110_ceviz.jpg</t>
  </si>
  <si>
    <t>mssz/masa_silva_kitabeli_fyz.jpg</t>
  </si>
  <si>
    <t>mssz/masa_silva_kare_kocabay.jpg</t>
  </si>
  <si>
    <t>mssz/masa_silva_oval_kocabay.jpg</t>
  </si>
  <si>
    <t>mssz/masa_siyah_mermer_kariyer.jpg</t>
  </si>
  <si>
    <t>mssz/masa_valdera_(fyz).jpg</t>
  </si>
  <si>
    <t>mssz/orta_sehpa_kugu_nikel_camli_alfa.jpg</t>
  </si>
  <si>
    <t>mssz/orta_sehpa_60*90_tekerlekli_suveren.jpg</t>
  </si>
  <si>
    <t>mssz/orta_sehpa_70*110_tekerlekli_suveren.jpg</t>
  </si>
  <si>
    <t>mssz/orta_sehpa_akilli_tekerli.jpg</t>
  </si>
  <si>
    <t>mssz/orta_sehpa_akilli_tekersiz.jpg</t>
  </si>
  <si>
    <t>mssz/orta_sehpa_kare_camli.jpg</t>
  </si>
  <si>
    <t>mssz/orta_sehpa_kum_saati_camli.jpg</t>
  </si>
  <si>
    <t>mssz/orta_sehpa_kum_saati_hasirli_camli.jpg</t>
  </si>
  <si>
    <t>mssz/orta_sehpa_lukens_.jpg</t>
  </si>
  <si>
    <t>mssz/orta_sehpa_piyano_mdf_yuvarlak.jpg</t>
  </si>
  <si>
    <t>mssz/orta_sehpa_pota_.jpg</t>
  </si>
  <si>
    <t>mssz/sandalye_polo_bohem.jpg</t>
  </si>
  <si>
    <t>mssz/sandalye_liya_kapitoneli_as_home.jpg</t>
  </si>
  <si>
    <t>mssz/sandalye_oliva_fyz.jpg</t>
  </si>
  <si>
    <t>mssz/sandalye_silva_fyz.jpg</t>
  </si>
  <si>
    <t>mssz/sandalye_telli.jpg</t>
  </si>
  <si>
    <t>mssz/sandalye_vale_fyz.jpg</t>
  </si>
  <si>
    <t>mssz/sandalye_venedik_.jpg</t>
  </si>
  <si>
    <t>mssz/sandalye_villa_fyz.jpg</t>
  </si>
  <si>
    <t>mssz/tabure_demir_cemberli.jpg</t>
  </si>
  <si>
    <t>mssz/tabure_demir_boyali.jpg</t>
  </si>
  <si>
    <t>mssz/tabure_metal_hekim.jpg</t>
  </si>
  <si>
    <t>mssz/tabure_plastik_buyuk.jpg</t>
  </si>
  <si>
    <t>mssz/tabure_plastik_orta_boy_33cm.jpg</t>
  </si>
  <si>
    <t>mssz/sandalye_tel_sandalye_.jpg</t>
  </si>
  <si>
    <t>mssz/masa_mdf_kelebek_efes.jpg</t>
  </si>
  <si>
    <t>mssz/orta_sehpa_camli_60*100_eralya.jpg</t>
  </si>
  <si>
    <t>mssz/sandalye_kare_gold_jr_krem.jpg</t>
  </si>
  <si>
    <t>mssz/sandalye_kare_gold_ekinciler.jpg</t>
  </si>
  <si>
    <t>mssz/sandalye_forum.jpg</t>
  </si>
  <si>
    <t>mssz/masa_katlanir_70*120_verzalit.jpg</t>
  </si>
  <si>
    <t>mssz/orta_sehpa_kugu_gold_camli_altinaksesuar.jpg</t>
  </si>
  <si>
    <t>mssz/orta_sehpa_piyano_mdf_kare.jpg</t>
  </si>
  <si>
    <t>mssz/masa_mdf_x_ayak_surgulu_duz_beyaz__canipek.jpg</t>
  </si>
  <si>
    <t>mssz/masa_mdf_x_ayak_surgulu_efes_canipek.jpg</t>
  </si>
  <si>
    <t>mssz/sandalye_eko.jpg</t>
  </si>
  <si>
    <t>mssz/masa_lak_kelebek_80*140_(fyz).jpg</t>
  </si>
  <si>
    <t>mssz/masa_silva_kitabeli_yarim_ayak_fyz.jpg</t>
  </si>
  <si>
    <t>mssz/masa_estelya_(fyz).jpg</t>
  </si>
  <si>
    <t>mssz/masa_mdf_kelebek_gardion_gri_mermer.jpg</t>
  </si>
  <si>
    <t>mssz/masa_mdf_kelebek_carara_beyaz_mermer.jpg</t>
  </si>
  <si>
    <t>mssz/masa_silva_sabit_oflu.jpg</t>
  </si>
  <si>
    <t>mssz/sandalye_ada_as_home_07_siyah.jpg</t>
  </si>
  <si>
    <t>mssz/masa_mdf_kelebek_sonomo.jpg</t>
  </si>
  <si>
    <t>mssz/masa_mdf_kelebek_duz_kristal.jpg</t>
  </si>
  <si>
    <t>mssz/masa_70*110_bahce_set.jpg</t>
  </si>
  <si>
    <t>mssz/masa_sunta_kelebek.jpg</t>
  </si>
  <si>
    <t>mssz/sandalye_leksuz.jpg</t>
  </si>
  <si>
    <t>mssz/sandalye_lav_(ysf).jpg</t>
  </si>
  <si>
    <t>tup/altinboga_kilitli_metal_dedantor_8mm.jpg</t>
  </si>
  <si>
    <t>tup/limited_vanali_dedantor_.jpg</t>
  </si>
  <si>
    <t>tup/medd_kamp_ocak_ipra.jpg</t>
  </si>
  <si>
    <t>tup/3_lu_te.jpg</t>
  </si>
  <si>
    <t>tup/aliminyum_pul.jpg</t>
  </si>
  <si>
    <t>tup/altinboga_kilitli_metal_dedantor_10mm.jpg</t>
  </si>
  <si>
    <t>tup/altinboga_kombi_dedantor.jpg</t>
  </si>
  <si>
    <t>tup/altinboga_novacoment_dedantor_4_kg.jpg</t>
  </si>
  <si>
    <t>tup/altinboga_ufak_sanayi_dedantor.jpg</t>
  </si>
  <si>
    <t>tup/arcelik_aliminyum_bek.jpg</t>
  </si>
  <si>
    <t>tup/aygaz_musluk.jpg</t>
  </si>
  <si>
    <t>tup/bm_debili_sanayi_dedantor.jpg</t>
  </si>
  <si>
    <t>tup/bm_metal_dedantor_8mm.jpg</t>
  </si>
  <si>
    <t>tup/bm_plastik_dedantor_10_mm.jpg</t>
  </si>
  <si>
    <t>tup/bm_plastik_dedantor_8_mm.jpg</t>
  </si>
  <si>
    <t>tup/bm_ufak_sanayi_metal_dedantor.jpg</t>
  </si>
  <si>
    <t>tup/damacana_yayli_kapak.jpg</t>
  </si>
  <si>
    <t>tup/dana_kuyrugu_1/2.jpg</t>
  </si>
  <si>
    <t>tup/dedantorlu_nurgaz_kamp_soba_aygaz.jpg</t>
  </si>
  <si>
    <t>tup/dedantorlu_nurgaz_kamp_soba_ipra.jpg</t>
  </si>
  <si>
    <t>tup/diksan_kamp_ocak_aygaz.jpg</t>
  </si>
  <si>
    <t>tup/diksan_kamp_ocak_ipra.jpg</t>
  </si>
  <si>
    <t>tup/dogalgaz_dirsek_(iki_tarafi_erkek).jpg</t>
  </si>
  <si>
    <t>tup/dogalgaz_hortumu_100cm.jpg</t>
  </si>
  <si>
    <t>tup/dogalgaz_hortumu_125cm.jpg</t>
  </si>
  <si>
    <t>tup/dogalgaz_hortumu_150cm.jpg</t>
  </si>
  <si>
    <t>tup/dogalgaz_hortumu_200cm.jpg</t>
  </si>
  <si>
    <t>tup/dogalgaz_hortumu_50cm.jpg</t>
  </si>
  <si>
    <t>tup/dogalgaz_hortumu_75cm.jpg</t>
  </si>
  <si>
    <t>tup/huni_su_icin.jpg</t>
  </si>
  <si>
    <t>tup/ipra_musluk.jpg</t>
  </si>
  <si>
    <t>tup/kahveci_kazan_muslugu_su_icin.jpg</t>
  </si>
  <si>
    <t>tup/kahveci_ocak_muslugu_gaz_icin.jpg</t>
  </si>
  <si>
    <t>tup/kamp_ocak_muslugu_aygaz_.jpg</t>
  </si>
  <si>
    <t>tup/kamp_ocak_muslugu_ipra.jpg</t>
  </si>
  <si>
    <t>tup/kamp_soba_muslugu_aygaz.jpg</t>
  </si>
  <si>
    <t>tup/kamp_soba_muslugu_ipra.jpg</t>
  </si>
  <si>
    <t>tup/kare_volkan_mini.jpg</t>
  </si>
  <si>
    <t>tup/kare_volkan_pik_35*35.jpg</t>
  </si>
  <si>
    <t>tup/kare_volkan_pik_40*40.jpg</t>
  </si>
  <si>
    <t>tup/katmer_sac_muslugu.jpg</t>
  </si>
  <si>
    <t>tup/kavurma_sac_muslugu_aygaz.jpg</t>
  </si>
  <si>
    <t>tup/kavurma_sac_muslugu_ipra.jpg</t>
  </si>
  <si>
    <t>tup/kelepceli_izgara.jpg</t>
  </si>
  <si>
    <t>tup/kunefe_ocagi_seyyar.jpg</t>
  </si>
  <si>
    <t>tup/kunefe_ocak_muslugu.jpg</t>
  </si>
  <si>
    <t>tup/limited_debili_sanayi_dedantor.jpg</t>
  </si>
  <si>
    <t>tup/limited_kilitli_metal_dedantor_10_mm.jpg</t>
  </si>
  <si>
    <t>tup/limited_kilitli_metal_dedantor_8mm.jpg</t>
  </si>
  <si>
    <t>tup/limited_metal_dedantor.jpg</t>
  </si>
  <si>
    <t>tup/limited_nova_kilitli_dedantor_.jpg</t>
  </si>
  <si>
    <t>tup/limited_ufak_sanayi_dedantor.jpg</t>
  </si>
  <si>
    <t>tup/luks_cami.jpg</t>
  </si>
  <si>
    <t>tup/luks_gomlegi_cengelli_nurgaz.jpg</t>
  </si>
  <si>
    <t>tup/luks_gomlegi_cengelli_orgaz.jpg</t>
  </si>
  <si>
    <t>tup/luks_gomlegi_ipli.jpg</t>
  </si>
  <si>
    <t>tup/medd_kamp_ocak_aygaz.jpg</t>
  </si>
  <si>
    <t>tup/medd_siboblu_kamp_ocak_.jpg</t>
  </si>
  <si>
    <t>tup/medd_turbo_kamp_ocak_aygaz.jpg</t>
  </si>
  <si>
    <t>tup/medd_turbo_kamp_ocak_ipra_.jpg</t>
  </si>
  <si>
    <t>tup/mega_izgara.jpg</t>
  </si>
  <si>
    <t>tup/murat_500'luk_vanali_dedantor.jpg</t>
  </si>
  <si>
    <t>tup/murat_debili_sanayi_dedantor.jpg</t>
  </si>
  <si>
    <t>tup/murat_kaan_kilitli_metal_dedantor_10_mm.jpg</t>
  </si>
  <si>
    <t>tup/murat_kaan_kilitli_metal_dedantor_8mm.jpg</t>
  </si>
  <si>
    <t>tup/murat_kombi_dedantor.jpg</t>
  </si>
  <si>
    <t>tup/murat_kombi_dedantoru_2_kg.jpg</t>
  </si>
  <si>
    <t>tup/murat_kombi_dedantoru_4_kg.jpg</t>
  </si>
  <si>
    <t>tup/murat_metal_500'luk_siboblu_dedantor.jpg</t>
  </si>
  <si>
    <t>tup/murat_metal_dedantor_.jpg</t>
  </si>
  <si>
    <t>tup/murat_saatli_sanayi_dedantor_.jpg</t>
  </si>
  <si>
    <t>tup/murat_sari_sanayi_dedantor.jpg</t>
  </si>
  <si>
    <t>tup/murat_ufak_sanayi_dedantor.jpg</t>
  </si>
  <si>
    <t>tup/murat_vanali_ayarli_dedantor.jpg</t>
  </si>
  <si>
    <t>tup/murat_vanali_dedantor.jpg</t>
  </si>
  <si>
    <t>tup/nurgaz_190_gr_luks_.jpg</t>
  </si>
  <si>
    <t>tup/nurgaz_500_gr_luks.jpg</t>
  </si>
  <si>
    <t>tup/nurgaz_500_gr_ocak.jpg</t>
  </si>
  <si>
    <t>tup/nurgaz_cantali_portatif_ocak.jpg</t>
  </si>
  <si>
    <t>tup/nurgaz_cok_amacli_aygaz.jpg</t>
  </si>
  <si>
    <t>tup/nurgaz_cok_amacli_ipra.jpg</t>
  </si>
  <si>
    <t>tup/nurgaz_siyah_boyali_kamp_ocak_aygaz.jpg</t>
  </si>
  <si>
    <t>tup/nurgaz_siyah_boyali_kamp_ocak_ipra.jpg</t>
  </si>
  <si>
    <t>tup/nurgaz_kamp_ocak_aygaz_.jpg</t>
  </si>
  <si>
    <t>tup/nurgaz_kamp_ocak_ipra_.jpg</t>
  </si>
  <si>
    <t>tup/nurgaz_kucuk_luks_aygaz.jpg</t>
  </si>
  <si>
    <t>tup/nurgaz_kucuk_turbo_kamp_ocak_aygaz_.jpg</t>
  </si>
  <si>
    <t>tup/nurgaz_kucuk_turbo_kamp_ocak_ipra.jpg</t>
  </si>
  <si>
    <t>tup/nurgaz_luks_aygaz.jpg</t>
  </si>
  <si>
    <t>tup/nurgaz_luks_ipra.jpg</t>
  </si>
  <si>
    <t>tup/nurgaz_nargile_ocagi.jpg</t>
  </si>
  <si>
    <t>tup/nurgaz_turbo_kamp_ocak_aygaz.jpg</t>
  </si>
  <si>
    <t>tup/nurgaz_turbo_kamp_ocak_ipra.jpg</t>
  </si>
  <si>
    <t>tup/ocak_kortapa_dar.jpg</t>
  </si>
  <si>
    <t>tup/ocak_ustu_kunefe_ocagi.jpg</t>
  </si>
  <si>
    <t>tup/orgaz_500_gr_luks_lamba.jpg</t>
  </si>
  <si>
    <t>tup/piknik_dugme.jpg</t>
  </si>
  <si>
    <t>tup/piknik_meme.jpg</t>
  </si>
  <si>
    <t>tup/piknik_uc_hortum_girecek.jpg</t>
  </si>
  <si>
    <t>tup/piknik_vida.jpg</t>
  </si>
  <si>
    <t>tup/purmuz_aygaz.jpg</t>
  </si>
  <si>
    <t>tup/purmuz_ipra_.jpg</t>
  </si>
  <si>
    <t>tup/radyan_dogalgaz_metser.jpg</t>
  </si>
  <si>
    <t>tup/radyan_lpg_metser.jpg</t>
  </si>
  <si>
    <t>tup/radyan_teli.jpg</t>
  </si>
  <si>
    <t>tup/sanayi_boru.jpg</t>
  </si>
  <si>
    <t>tup/sanayi_musluk_dg.jpg</t>
  </si>
  <si>
    <t>tup/sanayi_musluk_lpg.jpg</t>
  </si>
  <si>
    <t>tup/sebil_bardakligi.jpg</t>
  </si>
  <si>
    <t>tup/su_pompasi_bluerain.jpg</t>
  </si>
  <si>
    <t>tup/su_pompasi_dory.jpg</t>
  </si>
  <si>
    <t>tup/su_pompasi_labella.jpg</t>
  </si>
  <si>
    <t>tup/suzgec.jpg</t>
  </si>
  <si>
    <t>tup/turbo_suzgec.jpg</t>
  </si>
  <si>
    <t>tup/usta_/_kosva_kucuk_turbo_kamp_ocak_aygaz.jpg</t>
  </si>
  <si>
    <t>tup/usta_/_kosva_kucuk_turbo_kamp_ocak_ipra.jpg</t>
  </si>
  <si>
    <t>tup/suzgec_vidali.jpg</t>
  </si>
  <si>
    <t>tup/vidali_suzgec_orta_boy.jpg</t>
  </si>
  <si>
    <t>tup/10mm_beyaz_hortum_.jpg</t>
  </si>
  <si>
    <t>tup/10mm_sanayi_hortum_.jpg</t>
  </si>
  <si>
    <t>tup/10mm_sari_hortum_.jpg</t>
  </si>
  <si>
    <t>tup/8mm_ikiz_kaynak_hortumu.jpg</t>
  </si>
  <si>
    <t>tup/8mm_mavi_hortum.jpg</t>
  </si>
  <si>
    <t>tup/8mm_sari_hortum.jpg</t>
  </si>
  <si>
    <t>tup/9_mm_mavi_hortum.jpg</t>
  </si>
  <si>
    <t>tup/siboplu_conta.jpg</t>
  </si>
  <si>
    <t>tup/arcelik_aliminyum_havuz+siyah_kapak.jpg</t>
  </si>
  <si>
    <t>tup/arcelik_siyah_kapak_takim.jpg</t>
  </si>
  <si>
    <t>tup/kayseri_aliminyum_havuz+siyah_sac_kapak.jpg</t>
  </si>
  <si>
    <t>tup/kayseri_sac_kapak_.jpg</t>
  </si>
  <si>
    <t>tup/tuplu_sac_emaye_kayseri.jpg</t>
  </si>
  <si>
    <t>tup/volkan_yuvarlak.jpg</t>
  </si>
  <si>
    <t>tup/orgaz_190_gr_kamp_luks.jpg</t>
  </si>
  <si>
    <t>tup/suzgec_vidali_turbo.jpg</t>
  </si>
  <si>
    <t>tup/kayseri_aluminyum_havuz.jpg</t>
  </si>
  <si>
    <t>diger</t>
  </si>
  <si>
    <t>diger/fantom_boru.jpg</t>
  </si>
  <si>
    <t>diger/fantom_demir_boru_kalin.jpg</t>
  </si>
  <si>
    <t>diger/fantom_emici_kalin.jpg</t>
  </si>
  <si>
    <t>diger/fantom_hortum_kalin.jpg</t>
  </si>
  <si>
    <t>diger/fantom_yatik_hortum.jpg</t>
  </si>
  <si>
    <t>diger/tabure_demir_cembersiz.jpg</t>
  </si>
  <si>
    <t>diger/fantom_buyuk_bez_torba.jpg</t>
  </si>
  <si>
    <t>diger/3_lu_kollektor.jpg</t>
  </si>
  <si>
    <t>diger/gaz_alarm_cihazi.jpg</t>
  </si>
  <si>
    <t>Ürün bilgisi en kısa sürede sisteme entegre edilecektir. Tarafımızdan kaynaklı bu durumdan dolayı özür dileriz. Saygılarımızla.</t>
  </si>
  <si>
    <t>Stok No</t>
  </si>
  <si>
    <t>Stok Kodu</t>
  </si>
  <si>
    <t>Stok Adı</t>
  </si>
  <si>
    <t>Liste Fiyatı</t>
  </si>
  <si>
    <t>Döviz</t>
  </si>
  <si>
    <t>Stok Tipi</t>
  </si>
  <si>
    <t>Birim</t>
  </si>
  <si>
    <t>Ödeme Biçimi</t>
  </si>
  <si>
    <t>Cari Tipi Adı</t>
  </si>
  <si>
    <t>Özel Kod</t>
  </si>
  <si>
    <t>TURU</t>
  </si>
  <si>
    <t>STOK_NO</t>
  </si>
  <si>
    <t>STOK_KODU</t>
  </si>
  <si>
    <t>STOK_ADI</t>
  </si>
  <si>
    <t>LISTE_FIYATI</t>
  </si>
  <si>
    <t>DOVIZ_BIRIMI</t>
  </si>
  <si>
    <t>STOK_TIP_ADI</t>
  </si>
  <si>
    <t>BIRIM</t>
  </si>
  <si>
    <t>ODEME_ADI</t>
  </si>
  <si>
    <t>CARI_TIP_ADI</t>
  </si>
  <si>
    <t>OZEL_KOD</t>
  </si>
  <si>
    <t>Satış</t>
  </si>
  <si>
    <t>MSSZ.00166</t>
  </si>
  <si>
    <t>MASA-SAND-SEHPA-ZİGON</t>
  </si>
  <si>
    <t>Adet</t>
  </si>
  <si>
    <t>-- --</t>
  </si>
  <si>
    <t>MASA PLASTİK PALMİRA 70*120</t>
  </si>
  <si>
    <t>MSSZ.00169</t>
  </si>
  <si>
    <t>MASA PLASTİK RATTAN FLORYA 90*150</t>
  </si>
  <si>
    <t>MSSZ.00165</t>
  </si>
  <si>
    <t>MASA SİLVA SABİT</t>
  </si>
  <si>
    <t>MSSZ.00164</t>
  </si>
  <si>
    <t>ORTA SEHPA HASIR C AHŞAP NİKEL / GOLD</t>
  </si>
  <si>
    <t>MSSZ.00163</t>
  </si>
  <si>
    <t>ORTA SEHPA İZMİR</t>
  </si>
  <si>
    <t>MSSZ.00162</t>
  </si>
  <si>
    <t>ORTA SEHPA KUĞU NİKEL / GOLD CAMLI ALTINAKSESUAR</t>
  </si>
  <si>
    <t>MSSZ.00161</t>
  </si>
  <si>
    <t>ORTA SEHPA LÜKENS CANIPEK</t>
  </si>
  <si>
    <t>MSSZ.00160</t>
  </si>
  <si>
    <t>SANDALYE PLASTİK BERGAMA</t>
  </si>
  <si>
    <t>MSSZ.00057</t>
  </si>
  <si>
    <t>SANDALYE PLASTİK NAPOLİ LÜKS</t>
  </si>
  <si>
    <t>MSSZ.00159</t>
  </si>
  <si>
    <t>SANDALYE PLASTİK OSCAR METAL AYAKLI</t>
  </si>
  <si>
    <t>MSSZ.00158</t>
  </si>
  <si>
    <t>SANDALYE PLASTİK RATTAN  HİLTON</t>
  </si>
  <si>
    <t>MSSZ.00060</t>
  </si>
  <si>
    <t>ZİGON GÜRGEN</t>
  </si>
  <si>
    <t>MSSZ.00157</t>
  </si>
  <si>
    <t>ZİGON C HASIR AHŞAP NİKEL / GOLD ODABAŞI</t>
  </si>
  <si>
    <t>MSSZ.00061</t>
  </si>
  <si>
    <t>ZİGON İZMİR</t>
  </si>
  <si>
    <t>MSSZ.00149</t>
  </si>
  <si>
    <t>ZİGON LÜKENS SABİT KREM</t>
  </si>
  <si>
    <t>ZİGON LUKENS SABİT</t>
  </si>
  <si>
    <t>MSSZ.00148</t>
  </si>
  <si>
    <t>ZİGON LÜKENS SABİT CEVİZ</t>
  </si>
  <si>
    <t>ZİGON LÜKENS CANIPEK</t>
  </si>
  <si>
    <t>MSSZ.00147</t>
  </si>
  <si>
    <t>ZİGON LÜKENS SABİT BEYAZ</t>
  </si>
  <si>
    <t>KELEPÇE</t>
  </si>
  <si>
    <t>MSSZ.00156</t>
  </si>
  <si>
    <t>DÜDÜKLÜ LASTİĞİ 10-12</t>
  </si>
  <si>
    <t>MSSZ.00155</t>
  </si>
  <si>
    <t>DÜDÜKLÜ LASTİĞİ 5-6 / 7-8 SİYAH_BEYAZ</t>
  </si>
  <si>
    <t>MSSZ.00154</t>
  </si>
  <si>
    <t>KUTULU EMİCİ 32-35 MM</t>
  </si>
  <si>
    <t>MSSZ.00153</t>
  </si>
  <si>
    <t>ZİGON C HASIR CAMLI NİKEL / GOLD ODABAŞI</t>
  </si>
  <si>
    <t>MSSZ.00152</t>
  </si>
  <si>
    <t>ZİGON C CAMLI NİKEL / GOLD</t>
  </si>
  <si>
    <t>MSSZ.00151</t>
  </si>
  <si>
    <t>ORTA SEHPA KUĞU NİKEL / GOLD CAMLI ALFA</t>
  </si>
  <si>
    <t>MSSZ.00150</t>
  </si>
  <si>
    <t>YAŞAM 4+1 AHŞAP NİKEL / GOLD ODABAŞI</t>
  </si>
  <si>
    <t>MSSZ.00146</t>
  </si>
  <si>
    <t>YAŞAM 4+1 SET CAMLI NİKEL / GOLD ODABAŞI</t>
  </si>
  <si>
    <t>MSSZ.00145</t>
  </si>
  <si>
    <t>ORTA SEHPA C CAMLI NİKEL / GOLD</t>
  </si>
  <si>
    <t>MSSZ.00144</t>
  </si>
  <si>
    <t>SANDALYE KARE GOLD BF AS HOME</t>
  </si>
  <si>
    <t>MSSZ.00143</t>
  </si>
  <si>
    <t xml:space="preserve">SANDALYE ADA AS HOME </t>
  </si>
  <si>
    <t>MSSZ.00142</t>
  </si>
  <si>
    <t>SANDALYE ASALET AS HOME</t>
  </si>
  <si>
    <t>MSSZ.00141</t>
  </si>
  <si>
    <t>SANDALYE ELMA BF AS HOME</t>
  </si>
  <si>
    <t>MSSZ.00140</t>
  </si>
  <si>
    <t>SANDALYE LİYA BF AS HOME</t>
  </si>
  <si>
    <t>MSSZ.00139</t>
  </si>
  <si>
    <t>SANDALYE GOLD AS HOME</t>
  </si>
  <si>
    <t>MSSZ.00137</t>
  </si>
  <si>
    <t>MASA LAK 80*130  X AYAK SÜRGÜLÜ</t>
  </si>
  <si>
    <t>MSSZ.00136</t>
  </si>
  <si>
    <t>MASA MDF KELEBEK</t>
  </si>
  <si>
    <t>MSSZ.00134</t>
  </si>
  <si>
    <t>MASA SUNTA SABİT</t>
  </si>
  <si>
    <t>MSSZ.00135</t>
  </si>
  <si>
    <t>MASA MDF X AYAK SÜRGÜLÜ</t>
  </si>
  <si>
    <t>MSSZ.00132</t>
  </si>
  <si>
    <t>SANDALYE ALYA BF AS HOME</t>
  </si>
  <si>
    <t>MSSZ.00131</t>
  </si>
  <si>
    <t>MSSZ.00130</t>
  </si>
  <si>
    <t>MİNİSAN-MAXİMUS 6401 FFD OCAK</t>
  </si>
  <si>
    <t>MSSZ.00122</t>
  </si>
  <si>
    <t>MSSZ.00044</t>
  </si>
  <si>
    <t>MSSZ.00045</t>
  </si>
  <si>
    <t>MSSZ.00048</t>
  </si>
  <si>
    <t>MSSZ.00046</t>
  </si>
  <si>
    <t>MSSZ.00138</t>
  </si>
  <si>
    <t>MSSZ.00049</t>
  </si>
  <si>
    <t>MSSZ.00129</t>
  </si>
  <si>
    <t>MSSZ.00050</t>
  </si>
  <si>
    <t>MSSZ.00128</t>
  </si>
  <si>
    <t>MSSZ.00127</t>
  </si>
  <si>
    <t>MSSZ.00047</t>
  </si>
  <si>
    <t>MSSZ.00126</t>
  </si>
  <si>
    <t>MSSZ.00125</t>
  </si>
  <si>
    <t>Takım</t>
  </si>
  <si>
    <t>MSSZ.00167</t>
  </si>
  <si>
    <t>MSSZ.00062</t>
  </si>
  <si>
    <t>MSSZ.00170</t>
  </si>
  <si>
    <t>KEA.00023</t>
  </si>
  <si>
    <t>KEA</t>
  </si>
  <si>
    <t>KEA.00304</t>
  </si>
  <si>
    <t>KEA.00180</t>
  </si>
  <si>
    <t>KEA.00179</t>
  </si>
  <si>
    <t>KEA.00178</t>
  </si>
  <si>
    <t>KEA.00177</t>
  </si>
  <si>
    <t>KEA.00176</t>
  </si>
  <si>
    <t>KEA.00174</t>
  </si>
  <si>
    <t>KEA.00175</t>
  </si>
  <si>
    <t>KEA.00233</t>
  </si>
  <si>
    <t>KEA.00232</t>
  </si>
  <si>
    <t>KEA.00231</t>
  </si>
  <si>
    <t>KEA.00230</t>
  </si>
  <si>
    <t>KEA.00229</t>
  </si>
  <si>
    <t>KEA.00225</t>
  </si>
  <si>
    <t>KEA.00222</t>
  </si>
  <si>
    <t>KEA.00221</t>
  </si>
  <si>
    <t>MSSZ.00124</t>
  </si>
  <si>
    <t>MSSZ.00056</t>
  </si>
  <si>
    <t>MSSZ.00053</t>
  </si>
  <si>
    <t>MSSZ.00055</t>
  </si>
  <si>
    <t>MSSZ.00171</t>
  </si>
  <si>
    <t>MSSZ.00168</t>
  </si>
  <si>
    <t>MSSZ.00123</t>
  </si>
  <si>
    <t>MSSZ.00054</t>
  </si>
  <si>
    <t>KEA.00219</t>
  </si>
  <si>
    <t>KEA.00036</t>
  </si>
  <si>
    <t>TM.00256</t>
  </si>
  <si>
    <t>TÜP</t>
  </si>
  <si>
    <t>TM.00322</t>
  </si>
  <si>
    <t>TM.00321</t>
  </si>
  <si>
    <t>TM.00320</t>
  </si>
  <si>
    <t>TM.00319</t>
  </si>
  <si>
    <t>TM.00227</t>
  </si>
  <si>
    <t>ML.00015</t>
  </si>
  <si>
    <t>MOBİLYA</t>
  </si>
  <si>
    <t>KREDİ KARTI</t>
  </si>
  <si>
    <t>ML.00027</t>
  </si>
  <si>
    <t>KEA.00243</t>
  </si>
  <si>
    <t>KEA.00168</t>
  </si>
  <si>
    <t>KEA.00152</t>
  </si>
  <si>
    <t>KEA.00151</t>
  </si>
  <si>
    <t>KEA.00149</t>
  </si>
  <si>
    <t>KEA.00250</t>
  </si>
  <si>
    <t>KEA.00249</t>
  </si>
  <si>
    <t>KEA.00127</t>
  </si>
  <si>
    <t>KEA.00126</t>
  </si>
  <si>
    <t>KEA.00125</t>
  </si>
  <si>
    <t>KEA.00113</t>
  </si>
  <si>
    <t>KEA.00111</t>
  </si>
  <si>
    <t>KEA.00286</t>
  </si>
  <si>
    <t>KEA.00108</t>
  </si>
  <si>
    <t>KEA.00106</t>
  </si>
  <si>
    <t>KEA.00285</t>
  </si>
  <si>
    <t>TM.00358</t>
  </si>
  <si>
    <t>TM.00357</t>
  </si>
  <si>
    <t>KEA.00296</t>
  </si>
  <si>
    <t>KEA.00241</t>
  </si>
  <si>
    <t>KEA.00186</t>
  </si>
  <si>
    <t>KEA.00236</t>
  </si>
  <si>
    <t>KEA.00235</t>
  </si>
  <si>
    <t>KEA.00228</t>
  </si>
  <si>
    <t>KEA.00226</t>
  </si>
  <si>
    <t>KEA.00223</t>
  </si>
  <si>
    <t>KEA.00130</t>
  </si>
  <si>
    <t>KEA.00289</t>
  </si>
  <si>
    <t>KEA.00287</t>
  </si>
  <si>
    <t>KEA.00290</t>
  </si>
  <si>
    <t>KEA.00292</t>
  </si>
  <si>
    <t>KEA.00291</t>
  </si>
  <si>
    <t>ML.00028</t>
  </si>
  <si>
    <t>ML.00030</t>
  </si>
  <si>
    <t>ML.00031</t>
  </si>
  <si>
    <t>ML.00029</t>
  </si>
  <si>
    <t>TM.00264</t>
  </si>
  <si>
    <t>TM.00223</t>
  </si>
  <si>
    <t>KEA.00198</t>
  </si>
  <si>
    <t>KEA.00155</t>
  </si>
  <si>
    <t>KEA.00172</t>
  </si>
  <si>
    <t>KEA.00218</t>
  </si>
  <si>
    <t>EN.00010</t>
  </si>
  <si>
    <t>ENDÜSTRİYEL</t>
  </si>
  <si>
    <t>EN.00009</t>
  </si>
  <si>
    <t>EN.00008</t>
  </si>
  <si>
    <t>EN.00007</t>
  </si>
  <si>
    <t>KEA.00302</t>
  </si>
  <si>
    <t>KEA.00298</t>
  </si>
  <si>
    <t>KEA.00297</t>
  </si>
  <si>
    <t>KEA.00060</t>
  </si>
  <si>
    <t>KEA.00301</t>
  </si>
  <si>
    <t>KEA.00035</t>
  </si>
  <si>
    <t>KEA.00034</t>
  </si>
  <si>
    <t>KEA.00042</t>
  </si>
  <si>
    <t>KEA.00041</t>
  </si>
  <si>
    <t>KEA.00040</t>
  </si>
  <si>
    <t>MG.00031</t>
  </si>
  <si>
    <t>KEA.00022</t>
  </si>
  <si>
    <t>SA.00086</t>
  </si>
  <si>
    <t>SA.00085</t>
  </si>
  <si>
    <t>SA.00084</t>
  </si>
  <si>
    <t>YP.00046</t>
  </si>
  <si>
    <t>YEDEK PARÇA</t>
  </si>
  <si>
    <t>SA.00082</t>
  </si>
  <si>
    <t>SA.00083</t>
  </si>
  <si>
    <t>KEA.00194</t>
  </si>
  <si>
    <t>KEA.00193</t>
  </si>
  <si>
    <t>KEA.00192</t>
  </si>
  <si>
    <t>KEA.00160</t>
  </si>
  <si>
    <t>KEA.00072</t>
  </si>
  <si>
    <t>KEA.00092</t>
  </si>
  <si>
    <t>KEA.00080</t>
  </si>
  <si>
    <t>KEA.00037</t>
  </si>
  <si>
    <t>ML.00005</t>
  </si>
  <si>
    <t>TM.00259</t>
  </si>
  <si>
    <t>TM.00226</t>
  </si>
  <si>
    <t>TM.00067</t>
  </si>
  <si>
    <t>TM.00216</t>
  </si>
  <si>
    <t>KEA.00339</t>
  </si>
  <si>
    <t>KEA.00337</t>
  </si>
  <si>
    <t>KEA.00338</t>
  </si>
  <si>
    <t>KEA.00336</t>
  </si>
  <si>
    <t>KEA.00335</t>
  </si>
  <si>
    <t>KEA.00334</t>
  </si>
  <si>
    <t>KEA.00347</t>
  </si>
  <si>
    <t>KEA.00345</t>
  </si>
  <si>
    <t>KEA.00342</t>
  </si>
  <si>
    <t>KEA.00153</t>
  </si>
  <si>
    <t>KEA.00123</t>
  </si>
  <si>
    <t>KEA.00124</t>
  </si>
  <si>
    <t>KEA.00344</t>
  </si>
  <si>
    <t>KEA.00346</t>
  </si>
  <si>
    <t>KEA.00116</t>
  </si>
  <si>
    <t>KEA.00115</t>
  </si>
  <si>
    <t>KEA.00103</t>
  </si>
  <si>
    <t>KEA.00100</t>
  </si>
  <si>
    <t>KEA.00340</t>
  </si>
  <si>
    <t>KEA.00320</t>
  </si>
  <si>
    <t>KEA.00343</t>
  </si>
  <si>
    <t>KEA.00117</t>
  </si>
  <si>
    <t>KEA.00102</t>
  </si>
  <si>
    <t>KEA.00101</t>
  </si>
  <si>
    <t>KEA.00333</t>
  </si>
  <si>
    <t>KEA.00332</t>
  </si>
  <si>
    <t>KEA.00331</t>
  </si>
  <si>
    <t>KEA.00066</t>
  </si>
  <si>
    <t>KEA.00065</t>
  </si>
  <si>
    <t>TM.00215</t>
  </si>
  <si>
    <t>TM.00214</t>
  </si>
  <si>
    <t>TM.00213</t>
  </si>
  <si>
    <t>MG.00097</t>
  </si>
  <si>
    <t>TM.00243</t>
  </si>
  <si>
    <t>Paket</t>
  </si>
  <si>
    <t>KEA.00148</t>
  </si>
  <si>
    <t>KEA.00147</t>
  </si>
  <si>
    <t>KEA.00146</t>
  </si>
  <si>
    <t>KEA.00264</t>
  </si>
  <si>
    <t>KEA.00263</t>
  </si>
  <si>
    <t>KEA.00262</t>
  </si>
  <si>
    <t>KEA.00261</t>
  </si>
  <si>
    <t>KEA.00260</t>
  </si>
  <si>
    <t>KEA.00269</t>
  </si>
  <si>
    <t>KEA.00259</t>
  </si>
  <si>
    <t>KEA.00258</t>
  </si>
  <si>
    <t>KEA.00257</t>
  </si>
  <si>
    <t>KEA.00256</t>
  </si>
  <si>
    <t>KEA.00138</t>
  </si>
  <si>
    <t>KEA.00137</t>
  </si>
  <si>
    <t>KEA.00136</t>
  </si>
  <si>
    <t>KEA.00277</t>
  </si>
  <si>
    <t>KEA.00279</t>
  </si>
  <si>
    <t>KEA.00278</t>
  </si>
  <si>
    <t>KEA.00053</t>
  </si>
  <si>
    <t>ML.00045</t>
  </si>
  <si>
    <t>ML.00044</t>
  </si>
  <si>
    <t>ML.00043</t>
  </si>
  <si>
    <t>ML.00041</t>
  </si>
  <si>
    <t>ML.00040</t>
  </si>
  <si>
    <t>ML.00039</t>
  </si>
  <si>
    <t>ML.00042</t>
  </si>
  <si>
    <t>ML.00038</t>
  </si>
  <si>
    <t>ML.00037</t>
  </si>
  <si>
    <t>ML.00036</t>
  </si>
  <si>
    <t>ML.00035</t>
  </si>
  <si>
    <t>ML.00046</t>
  </si>
  <si>
    <t>ML.00034</t>
  </si>
  <si>
    <t>KEA.00215</t>
  </si>
  <si>
    <t>TM.00212</t>
  </si>
  <si>
    <t>KEA.00213</t>
  </si>
  <si>
    <t>KEA.00212</t>
  </si>
  <si>
    <t>SA.00029</t>
  </si>
  <si>
    <t>SA.00028</t>
  </si>
  <si>
    <t>SA.00027</t>
  </si>
  <si>
    <t>SA.00026</t>
  </si>
  <si>
    <t>SA.00088</t>
  </si>
  <si>
    <t>SA.00025</t>
  </si>
  <si>
    <t>SA.00003</t>
  </si>
  <si>
    <t>ML.00075</t>
  </si>
  <si>
    <t>ML.00074</t>
  </si>
  <si>
    <t>ML.00073</t>
  </si>
  <si>
    <t>ML.00072</t>
  </si>
  <si>
    <t>ML.00071</t>
  </si>
  <si>
    <t>ML.00070</t>
  </si>
  <si>
    <t>ML.00069</t>
  </si>
  <si>
    <t>ML.00068</t>
  </si>
  <si>
    <t>ML.00067</t>
  </si>
  <si>
    <t>ML.00066</t>
  </si>
  <si>
    <t>ML.00065</t>
  </si>
  <si>
    <t>ML.00064</t>
  </si>
  <si>
    <t>ML.00063</t>
  </si>
  <si>
    <t>ML.00062</t>
  </si>
  <si>
    <t>SA.00010</t>
  </si>
  <si>
    <t>SA.00009</t>
  </si>
  <si>
    <t>SA.00008</t>
  </si>
  <si>
    <t>SA.00071</t>
  </si>
  <si>
    <t>SA.00070</t>
  </si>
  <si>
    <t>SA.00069</t>
  </si>
  <si>
    <t>SA.00068</t>
  </si>
  <si>
    <t>SA.00067</t>
  </si>
  <si>
    <t>SA.00007</t>
  </si>
  <si>
    <t>SA.00093</t>
  </si>
  <si>
    <t>SA.00094</t>
  </si>
  <si>
    <t>SA.00046</t>
  </si>
  <si>
    <t>SA.00045</t>
  </si>
  <si>
    <t>SA.00044</t>
  </si>
  <si>
    <t>SA.00030</t>
  </si>
  <si>
    <t>SA.00039</t>
  </si>
  <si>
    <t>SA.00040</t>
  </si>
  <si>
    <t>SA.00041</t>
  </si>
  <si>
    <t>SA.00042</t>
  </si>
  <si>
    <t>SA.00043</t>
  </si>
  <si>
    <t>SA.00031</t>
  </si>
  <si>
    <t>SA.00038</t>
  </si>
  <si>
    <t>SA.00037</t>
  </si>
  <si>
    <t>SA.00036</t>
  </si>
  <si>
    <t>SA.00035</t>
  </si>
  <si>
    <t>SA.00034</t>
  </si>
  <si>
    <t>SA.00006</t>
  </si>
  <si>
    <t>SA.00076</t>
  </si>
  <si>
    <t>SA.00075</t>
  </si>
  <si>
    <t>SA.00074</t>
  </si>
  <si>
    <t>SA.00005</t>
  </si>
  <si>
    <t>SA.00073</t>
  </si>
  <si>
    <t>SA.00072</t>
  </si>
  <si>
    <t>SA.00032</t>
  </si>
  <si>
    <t>SA.00062</t>
  </si>
  <si>
    <t>SA.00063</t>
  </si>
  <si>
    <t>SA.00064</t>
  </si>
  <si>
    <t>SA.00065</t>
  </si>
  <si>
    <t>SA.00066</t>
  </si>
  <si>
    <t>SA.00061</t>
  </si>
  <si>
    <t>SA.00060</t>
  </si>
  <si>
    <t>SA.00059</t>
  </si>
  <si>
    <t>SA.00004</t>
  </si>
  <si>
    <t>SA.00058</t>
  </si>
  <si>
    <t>SA.00057</t>
  </si>
  <si>
    <t>SA.00033</t>
  </si>
  <si>
    <t>SA.00089</t>
  </si>
  <si>
    <t>SA.00078</t>
  </si>
  <si>
    <t>SA.00077</t>
  </si>
  <si>
    <t>SA.00056</t>
  </si>
  <si>
    <t>SA.00055</t>
  </si>
  <si>
    <t>SA.00054</t>
  </si>
  <si>
    <t>SA.00053</t>
  </si>
  <si>
    <t>SA.00052</t>
  </si>
  <si>
    <t>SA.00002</t>
  </si>
  <si>
    <t>SA.00081</t>
  </si>
  <si>
    <t>SA.00079</t>
  </si>
  <si>
    <t>SA.00051</t>
  </si>
  <si>
    <t>SA.00050</t>
  </si>
  <si>
    <t>SA.00049</t>
  </si>
  <si>
    <t>SA.00048</t>
  </si>
  <si>
    <t>SA.00047</t>
  </si>
  <si>
    <t>SA.00001</t>
  </si>
  <si>
    <t>TM.00318</t>
  </si>
  <si>
    <t>TM.00317</t>
  </si>
  <si>
    <t>TM.00209</t>
  </si>
  <si>
    <t>ML.00056</t>
  </si>
  <si>
    <t>ML.00054</t>
  </si>
  <si>
    <t>ML.00052</t>
  </si>
  <si>
    <t>KEA.00314</t>
  </si>
  <si>
    <t>KEA.00086</t>
  </si>
  <si>
    <t>KEA.00083</t>
  </si>
  <si>
    <t>KEA.00330</t>
  </si>
  <si>
    <t>KEA.00313</t>
  </si>
  <si>
    <t>KEA.00170</t>
  </si>
  <si>
    <t>KEA.00324</t>
  </si>
  <si>
    <t>KEA.00323</t>
  </si>
  <si>
    <t>KEA.00315</t>
  </si>
  <si>
    <t>KEA.00158</t>
  </si>
  <si>
    <t>KEA.00156</t>
  </si>
  <si>
    <t>KEA.00157</t>
  </si>
  <si>
    <t>KEA.00328</t>
  </si>
  <si>
    <t>KEA.00265</t>
  </si>
  <si>
    <t>KEA.00204</t>
  </si>
  <si>
    <t>KEA.00096</t>
  </si>
  <si>
    <t>KEA.00090</t>
  </si>
  <si>
    <t>KEA.00084</t>
  </si>
  <si>
    <t>KEA.00094</t>
  </si>
  <si>
    <t>KEA.00095</t>
  </si>
  <si>
    <t>KEA.00203</t>
  </si>
  <si>
    <t>KEA.00327</t>
  </si>
  <si>
    <t>KEA.00205</t>
  </si>
  <si>
    <t>KEA.00210</t>
  </si>
  <si>
    <t>KEA.00079</t>
  </si>
  <si>
    <t>KEA.00085</t>
  </si>
  <si>
    <t>YP.00255</t>
  </si>
  <si>
    <t>KEA.00207</t>
  </si>
  <si>
    <t>KEA.00071</t>
  </si>
  <si>
    <t>KEA.00070</t>
  </si>
  <si>
    <t>KEA.00069</t>
  </si>
  <si>
    <t>TM.00255</t>
  </si>
  <si>
    <t>ML.00003</t>
  </si>
  <si>
    <t>KEA.00024</t>
  </si>
  <si>
    <t>TM.00207</t>
  </si>
  <si>
    <t>TM.00206</t>
  </si>
  <si>
    <t>TM.00205</t>
  </si>
  <si>
    <t>KEA.00288</t>
  </si>
  <si>
    <t>KEA.00191</t>
  </si>
  <si>
    <t>KEA.00295</t>
  </si>
  <si>
    <t>KEA.00190</t>
  </si>
  <si>
    <t>KEA.00188</t>
  </si>
  <si>
    <t>KEA.00189</t>
  </si>
  <si>
    <t>KEA.00187</t>
  </si>
  <si>
    <t>KEA.00144</t>
  </si>
  <si>
    <t>KEA.00268</t>
  </si>
  <si>
    <t>KEA.00267</t>
  </si>
  <si>
    <t>KEA.00266</t>
  </si>
  <si>
    <t>KEA.00131</t>
  </si>
  <si>
    <t>KEA.00129</t>
  </si>
  <si>
    <t>KEA.00074</t>
  </si>
  <si>
    <t>TM.00204</t>
  </si>
  <si>
    <t>TM.00203</t>
  </si>
  <si>
    <t>KEA.00325</t>
  </si>
  <si>
    <t>TM.00202</t>
  </si>
  <si>
    <t>TM.00201</t>
  </si>
  <si>
    <t>TM.00266</t>
  </si>
  <si>
    <t>TM.00199</t>
  </si>
  <si>
    <t>MSSZ.00121</t>
  </si>
  <si>
    <t>MSSZ.00120</t>
  </si>
  <si>
    <t>MSSZ.00119</t>
  </si>
  <si>
    <t>MSSZ.00059</t>
  </si>
  <si>
    <t>MSSZ.00118</t>
  </si>
  <si>
    <t>MSSZ.00117</t>
  </si>
  <si>
    <t>MSSZ.00116</t>
  </si>
  <si>
    <t>MSSZ.00115</t>
  </si>
  <si>
    <t>MSSZ.00114</t>
  </si>
  <si>
    <t>MSSZ.00113</t>
  </si>
  <si>
    <t>MSSZ.00112</t>
  </si>
  <si>
    <t>MSSZ.00111</t>
  </si>
  <si>
    <t>MSSZ.00093</t>
  </si>
  <si>
    <t>MSSZ.00051</t>
  </si>
  <si>
    <t>MSSZ.00052</t>
  </si>
  <si>
    <t>MSSZ.00058</t>
  </si>
  <si>
    <t>MSSZ.00110</t>
  </si>
  <si>
    <t>MSSZ.00109</t>
  </si>
  <si>
    <t>MSSZ.00108</t>
  </si>
  <si>
    <t>MSSZ.00107</t>
  </si>
  <si>
    <t>MSSZ.00106</t>
  </si>
  <si>
    <t>MSSZ.00103</t>
  </si>
  <si>
    <t>MSSZ.00104</t>
  </si>
  <si>
    <t>MSSZ.00105</t>
  </si>
  <si>
    <t>MSSZ.00102</t>
  </si>
  <si>
    <t>MSSZ.00101</t>
  </si>
  <si>
    <t>ORTA SEHPA CAMLI 70*110 TEKERLEKLİ  MASSAN</t>
  </si>
  <si>
    <t>MSSZ.00100</t>
  </si>
  <si>
    <t>ORTA SEHPA CAMLI 60*100 TEKERLEKLİ MASSAN</t>
  </si>
  <si>
    <t>MSSZ.00090</t>
  </si>
  <si>
    <t>MSSZ.00091</t>
  </si>
  <si>
    <t>MSSZ.00092</t>
  </si>
  <si>
    <t>MSSZ.00098</t>
  </si>
  <si>
    <t>MSSZ.00097</t>
  </si>
  <si>
    <t>MSSZ.00096</t>
  </si>
  <si>
    <t>MSSZ.00095</t>
  </si>
  <si>
    <t>MSSZ.00094</t>
  </si>
  <si>
    <t>TM.00390</t>
  </si>
  <si>
    <t>TM.00392</t>
  </si>
  <si>
    <t>TM.00196</t>
  </si>
  <si>
    <t>TM.00406</t>
  </si>
  <si>
    <t>TM.00405</t>
  </si>
  <si>
    <t>TM.00404</t>
  </si>
  <si>
    <t>TM.00389</t>
  </si>
  <si>
    <t>TM.00356</t>
  </si>
  <si>
    <t>TM.00355</t>
  </si>
  <si>
    <t>TM.00349</t>
  </si>
  <si>
    <t>TM.00348</t>
  </si>
  <si>
    <t>TM.00387</t>
  </si>
  <si>
    <t>TM.00386</t>
  </si>
  <si>
    <t>TM.00385</t>
  </si>
  <si>
    <t>TM.00384</t>
  </si>
  <si>
    <t>TM.00383</t>
  </si>
  <si>
    <t>TM.00382</t>
  </si>
  <si>
    <t>TM.00381</t>
  </si>
  <si>
    <t>TM.00380</t>
  </si>
  <si>
    <t>TM.00379</t>
  </si>
  <si>
    <t>TM.00378</t>
  </si>
  <si>
    <t>TM.00377</t>
  </si>
  <si>
    <t>TM.00376</t>
  </si>
  <si>
    <t>TM.00375</t>
  </si>
  <si>
    <t>TM.00374</t>
  </si>
  <si>
    <t>TM.00373</t>
  </si>
  <si>
    <t>TM.00372</t>
  </si>
  <si>
    <t>TM.00371</t>
  </si>
  <si>
    <t>TM.00370</t>
  </si>
  <si>
    <t>TM.00369</t>
  </si>
  <si>
    <t>TM.00368</t>
  </si>
  <si>
    <t>TM.00165</t>
  </si>
  <si>
    <t>TM.00164</t>
  </si>
  <si>
    <t>TM.00354</t>
  </si>
  <si>
    <t>TM.00353</t>
  </si>
  <si>
    <t>TM.00352</t>
  </si>
  <si>
    <t>TM.00351</t>
  </si>
  <si>
    <t>TM.00350</t>
  </si>
  <si>
    <t>TM.00157</t>
  </si>
  <si>
    <t>TM.00154</t>
  </si>
  <si>
    <t>TM.00153</t>
  </si>
  <si>
    <t>TM.00367</t>
  </si>
  <si>
    <t>TM.00366</t>
  </si>
  <si>
    <t>TM.00365</t>
  </si>
  <si>
    <t>TM.00364</t>
  </si>
  <si>
    <t>TM.00363</t>
  </si>
  <si>
    <t>TM.00362</t>
  </si>
  <si>
    <t>TM.00361</t>
  </si>
  <si>
    <t>TM.00360</t>
  </si>
  <si>
    <t>TM.00359</t>
  </si>
  <si>
    <t>KEA.00068</t>
  </si>
  <si>
    <t>KEA.00067</t>
  </si>
  <si>
    <t>TM.00299</t>
  </si>
  <si>
    <t>TM.00298</t>
  </si>
  <si>
    <t>TM.00297</t>
  </si>
  <si>
    <t>TM.00296</t>
  </si>
  <si>
    <t>TM.00295</t>
  </si>
  <si>
    <t>TM.00294</t>
  </si>
  <si>
    <t>TM.00293</t>
  </si>
  <si>
    <t>TM.00292</t>
  </si>
  <si>
    <t>TM.00291</t>
  </si>
  <si>
    <t>TM.00290</t>
  </si>
  <si>
    <t>TM.00289</t>
  </si>
  <si>
    <t>TM.00288</t>
  </si>
  <si>
    <t>TM.00287</t>
  </si>
  <si>
    <t>TM.00286</t>
  </si>
  <si>
    <t>TM.00285</t>
  </si>
  <si>
    <t>TM.00284</t>
  </si>
  <si>
    <t>KEA.00140</t>
  </si>
  <si>
    <t>KEA.00139</t>
  </si>
  <si>
    <t>KEA.00237</t>
  </si>
  <si>
    <t>KEA.00234</t>
  </si>
  <si>
    <t>KEA.00227</t>
  </si>
  <si>
    <t>KEA.00220</t>
  </si>
  <si>
    <t>KEA.00143</t>
  </si>
  <si>
    <t>KEA.00141</t>
  </si>
  <si>
    <t>KEA.00142</t>
  </si>
  <si>
    <t>KEA.00282</t>
  </si>
  <si>
    <t>KEA.00150</t>
  </si>
  <si>
    <t>MG.00033</t>
  </si>
  <si>
    <t>KEA.00077</t>
  </si>
  <si>
    <t>KEA.00076</t>
  </si>
  <si>
    <t>KEA.00051</t>
  </si>
  <si>
    <t>KEA.00050</t>
  </si>
  <si>
    <t>KEA.00063</t>
  </si>
  <si>
    <t>ML.00061</t>
  </si>
  <si>
    <t>ML.00059</t>
  </si>
  <si>
    <t>ML.00051</t>
  </si>
  <si>
    <t>ML.00050</t>
  </si>
  <si>
    <t>ML.00060</t>
  </si>
  <si>
    <t>TM.00347</t>
  </si>
  <si>
    <t>TM.00346</t>
  </si>
  <si>
    <t>TM.00345</t>
  </si>
  <si>
    <t>TM.00344</t>
  </si>
  <si>
    <t>TM.00338</t>
  </si>
  <si>
    <t>TM.00343</t>
  </si>
  <si>
    <t>MSSZ.00041</t>
  </si>
  <si>
    <t>MSSZ.00019</t>
  </si>
  <si>
    <t>MSSZ.00018</t>
  </si>
  <si>
    <t>MSSZ.00040</t>
  </si>
  <si>
    <t>MSSZ.00076</t>
  </si>
  <si>
    <t>MSSZ.00077</t>
  </si>
  <si>
    <t>MSSZ.00079</t>
  </si>
  <si>
    <t>MSSZ.00078</t>
  </si>
  <si>
    <t>MSSZ.00030</t>
  </si>
  <si>
    <t>MSSZ.00083</t>
  </si>
  <si>
    <t>MSSZ.00035</t>
  </si>
  <si>
    <t>MSSZ.00080</t>
  </si>
  <si>
    <t>MSSZ.00031</t>
  </si>
  <si>
    <t>MSSZ.00034</t>
  </si>
  <si>
    <t>MSSZ.00067</t>
  </si>
  <si>
    <t>MSSZ.00032</t>
  </si>
  <si>
    <t>MSSZ.00033</t>
  </si>
  <si>
    <t>MSSZ.00029</t>
  </si>
  <si>
    <t>MSSZ.00028</t>
  </si>
  <si>
    <t>MSSZ.00027</t>
  </si>
  <si>
    <t>MSSZ.00026</t>
  </si>
  <si>
    <t>MSSZ.00025</t>
  </si>
  <si>
    <t>MSSZ.00024</t>
  </si>
  <si>
    <t>MSSZ.00022</t>
  </si>
  <si>
    <t>MSSZ.00023</t>
  </si>
  <si>
    <t>MSSZ.00021</t>
  </si>
  <si>
    <t>MSSZ.00016</t>
  </si>
  <si>
    <t>MSSZ.00015</t>
  </si>
  <si>
    <t>MSSZ.00086</t>
  </si>
  <si>
    <t>MSSZ.00088</t>
  </si>
  <si>
    <t>MSSZ.00065</t>
  </si>
  <si>
    <t>MSSZ.00064</t>
  </si>
  <si>
    <t>MSSZ.00087</t>
  </si>
  <si>
    <t>MSSZ.00063</t>
  </si>
  <si>
    <t>MSSZ.00012</t>
  </si>
  <si>
    <t>MSSZ.00014</t>
  </si>
  <si>
    <t>MSSZ.00084</t>
  </si>
  <si>
    <t>MSSZ.00073</t>
  </si>
  <si>
    <t>MSSZ.00070</t>
  </si>
  <si>
    <t>MSSZ.00042</t>
  </si>
  <si>
    <t>MSSZ.00085</t>
  </si>
  <si>
    <t>MSSZ.00072</t>
  </si>
  <si>
    <t>MSSZ.00074</t>
  </si>
  <si>
    <t>MSSZ.00071</t>
  </si>
  <si>
    <t>MSSZ.00075</t>
  </si>
  <si>
    <t>MSSZ.00066</t>
  </si>
  <si>
    <t>MSSZ.00069</t>
  </si>
  <si>
    <t>MSSZ.00013</t>
  </si>
  <si>
    <t>MSSZ.00011</t>
  </si>
  <si>
    <t>MSSZ.00001</t>
  </si>
  <si>
    <t>MSSZ.00008</t>
  </si>
  <si>
    <t>MSSZ.00043</t>
  </si>
  <si>
    <t>MSSZ.00007</t>
  </si>
  <si>
    <t>MSSZ.00006</t>
  </si>
  <si>
    <t>MSSZ.00005</t>
  </si>
  <si>
    <t>MSSZ.00004</t>
  </si>
  <si>
    <t>MSSZ.00003</t>
  </si>
  <si>
    <t>MSSZ.00068</t>
  </si>
  <si>
    <t>MSSZ.00017</t>
  </si>
  <si>
    <t>MSSZ.00020</t>
  </si>
  <si>
    <t>MSSZ.00010</t>
  </si>
  <si>
    <t>MSSZ.00002</t>
  </si>
  <si>
    <t>MSSZ.00089</t>
  </si>
  <si>
    <t>TM.00391</t>
  </si>
  <si>
    <t>TM.00122</t>
  </si>
  <si>
    <t>TM.00121</t>
  </si>
  <si>
    <t>TM.00120</t>
  </si>
  <si>
    <t>TM.00119</t>
  </si>
  <si>
    <t>EN.00053</t>
  </si>
  <si>
    <t>EN.00034</t>
  </si>
  <si>
    <t>EN.00005</t>
  </si>
  <si>
    <t>EN.00001</t>
  </si>
  <si>
    <t>EN.00002</t>
  </si>
  <si>
    <t>EN.00049</t>
  </si>
  <si>
    <t>LOKANTA OCAĞI ÇİFT YANIŞLI 60*60</t>
  </si>
  <si>
    <t>EN.00004</t>
  </si>
  <si>
    <t>EN.00003</t>
  </si>
  <si>
    <t>EN.00033</t>
  </si>
  <si>
    <t>EN.00052</t>
  </si>
  <si>
    <t>EN.00051</t>
  </si>
  <si>
    <t>TM.00268</t>
  </si>
  <si>
    <t>TM.00283</t>
  </si>
  <si>
    <t>TM.00282</t>
  </si>
  <si>
    <t>TM.00281</t>
  </si>
  <si>
    <t>TM.00280</t>
  </si>
  <si>
    <t>TM.00279</t>
  </si>
  <si>
    <t>TM.00278</t>
  </si>
  <si>
    <t>KEA.00216</t>
  </si>
  <si>
    <t>TM.00232</t>
  </si>
  <si>
    <t>TM.00315</t>
  </si>
  <si>
    <t>TM.00106</t>
  </si>
  <si>
    <t>YP.00035</t>
  </si>
  <si>
    <t>YP.00034</t>
  </si>
  <si>
    <t>YP.00033</t>
  </si>
  <si>
    <t>KEA.00018</t>
  </si>
  <si>
    <t>ML.00004</t>
  </si>
  <si>
    <t>ML.00014</t>
  </si>
  <si>
    <t>ML.00024</t>
  </si>
  <si>
    <t>ML.00025</t>
  </si>
  <si>
    <t>ML.00007</t>
  </si>
  <si>
    <t>KEA.00135</t>
  </si>
  <si>
    <t>MG.00061</t>
  </si>
  <si>
    <t>KEA.00312</t>
  </si>
  <si>
    <t>KEA.00311</t>
  </si>
  <si>
    <t>MG.00060</t>
  </si>
  <si>
    <t>KEA.00309</t>
  </si>
  <si>
    <t>MG.00059</t>
  </si>
  <si>
    <t>MG.00058</t>
  </si>
  <si>
    <t>TM.00105</t>
  </si>
  <si>
    <t>TM.00104</t>
  </si>
  <si>
    <t>TM.00242</t>
  </si>
  <si>
    <t>EN.00032</t>
  </si>
  <si>
    <t>EN.00030</t>
  </si>
  <si>
    <t>EN.00031</t>
  </si>
  <si>
    <t>EN.00029</t>
  </si>
  <si>
    <t>EN.00028</t>
  </si>
  <si>
    <t>EN.00027</t>
  </si>
  <si>
    <t>EN.00026</t>
  </si>
  <si>
    <t>EN.00025</t>
  </si>
  <si>
    <t>EN.00024</t>
  </si>
  <si>
    <t>EN.00023</t>
  </si>
  <si>
    <t>EN.00022</t>
  </si>
  <si>
    <t>EN.00021</t>
  </si>
  <si>
    <t>EN.00020</t>
  </si>
  <si>
    <t>EN.00019</t>
  </si>
  <si>
    <t>EN.00018</t>
  </si>
  <si>
    <t>EN.00017</t>
  </si>
  <si>
    <t>EN.00016</t>
  </si>
  <si>
    <t>EN.00015</t>
  </si>
  <si>
    <t>TM.00251</t>
  </si>
  <si>
    <t>TM.00410</t>
  </si>
  <si>
    <t>TM.00409</t>
  </si>
  <si>
    <t>TM.00265</t>
  </si>
  <si>
    <t>TM.00248</t>
  </si>
  <si>
    <t>TM.00314</t>
  </si>
  <si>
    <t>TM.00313</t>
  </si>
  <si>
    <t>KEA.00246</t>
  </si>
  <si>
    <t>KEA.00245</t>
  </si>
  <si>
    <t>KEA.00251</t>
  </si>
  <si>
    <t>KEA.00217</t>
  </si>
  <si>
    <t>TM.00312</t>
  </si>
  <si>
    <t>TM.00100</t>
  </si>
  <si>
    <t>TM.00099</t>
  </si>
  <si>
    <t>TM.00098</t>
  </si>
  <si>
    <t>EN.00048</t>
  </si>
  <si>
    <t>EN.00045</t>
  </si>
  <si>
    <t>EN.00046</t>
  </si>
  <si>
    <t>EN.00043</t>
  </si>
  <si>
    <t>EN.00047</t>
  </si>
  <si>
    <t>EN.00044</t>
  </si>
  <si>
    <t>TM.00311</t>
  </si>
  <si>
    <t>TM.00310</t>
  </si>
  <si>
    <t>TM.00309</t>
  </si>
  <si>
    <t>TM.00308</t>
  </si>
  <si>
    <t>TM.00307</t>
  </si>
  <si>
    <t>TM.00306</t>
  </si>
  <si>
    <t>TM.00305</t>
  </si>
  <si>
    <t>TM.00304</t>
  </si>
  <si>
    <t>KEA.00321</t>
  </si>
  <si>
    <t>KEA.00087</t>
  </si>
  <si>
    <t>MG.00034</t>
  </si>
  <si>
    <t>KEA.00064</t>
  </si>
  <si>
    <t>KEA.00348</t>
  </si>
  <si>
    <t>IZGARA UĞUR ELEKTRİKLİ</t>
  </si>
  <si>
    <t>MG.00035</t>
  </si>
  <si>
    <t>TM.00342</t>
  </si>
  <si>
    <t>TM.00341</t>
  </si>
  <si>
    <t>TM.00303</t>
  </si>
  <si>
    <t>TM.00302</t>
  </si>
  <si>
    <t>TM.00074</t>
  </si>
  <si>
    <t>TM.00070</t>
  </si>
  <si>
    <t>KEA.00088</t>
  </si>
  <si>
    <t>YP.00268</t>
  </si>
  <si>
    <t>EN.00056</t>
  </si>
  <si>
    <t>EN.00055</t>
  </si>
  <si>
    <t>EN.00054</t>
  </si>
  <si>
    <t>EN.00050</t>
  </si>
  <si>
    <t>KEA.00154</t>
  </si>
  <si>
    <t>KEA.00247</t>
  </si>
  <si>
    <t>KEA.00293</t>
  </si>
  <si>
    <t>KEA.00240</t>
  </si>
  <si>
    <t>KEA.00239</t>
  </si>
  <si>
    <t>KEA.00238</t>
  </si>
  <si>
    <t>KEA.00185</t>
  </si>
  <si>
    <t>KEA.00184</t>
  </si>
  <si>
    <t>KEA.00183</t>
  </si>
  <si>
    <t>KEA.00182</t>
  </si>
  <si>
    <t>KEA.00181</t>
  </si>
  <si>
    <t>KEA.00161</t>
  </si>
  <si>
    <t>KEA.00252</t>
  </si>
  <si>
    <t>KEA.00254</t>
  </si>
  <si>
    <t>KEA.00224</t>
  </si>
  <si>
    <t>TM.00403</t>
  </si>
  <si>
    <t>TM.00402</t>
  </si>
  <si>
    <t>KEA.00253</t>
  </si>
  <si>
    <t>TM.00401</t>
  </si>
  <si>
    <t>KEA.00073</t>
  </si>
  <si>
    <t>KEA.00033</t>
  </si>
  <si>
    <t>KEA.00032</t>
  </si>
  <si>
    <t>KEA.00031</t>
  </si>
  <si>
    <t>KEA.00030</t>
  </si>
  <si>
    <t>FIRIN AKEL AF007-AF010 YUVARLAK</t>
  </si>
  <si>
    <t>KEA.00275</t>
  </si>
  <si>
    <t>MG.00081</t>
  </si>
  <si>
    <t>KEA.00121</t>
  </si>
  <si>
    <t>KEA.00120</t>
  </si>
  <si>
    <t>KEA.00119</t>
  </si>
  <si>
    <t>KEA.00118</t>
  </si>
  <si>
    <t>YP.00029</t>
  </si>
  <si>
    <t>YP.00028</t>
  </si>
  <si>
    <t>YP.00027</t>
  </si>
  <si>
    <t>YP.00026</t>
  </si>
  <si>
    <t>YP.00252</t>
  </si>
  <si>
    <t>YP.00025</t>
  </si>
  <si>
    <t>KEA.00294</t>
  </si>
  <si>
    <t>KEA.00078</t>
  </si>
  <si>
    <t>KEA.00021</t>
  </si>
  <si>
    <t>KEA.00329</t>
  </si>
  <si>
    <t>KEA.00307</t>
  </si>
  <si>
    <t>KEA.00306</t>
  </si>
  <si>
    <t>KEA.00305</t>
  </si>
  <si>
    <t>TM.00400</t>
  </si>
  <si>
    <t>TM.00399</t>
  </si>
  <si>
    <t>MG.00080</t>
  </si>
  <si>
    <t>TM.00059</t>
  </si>
  <si>
    <t>ML.00010</t>
  </si>
  <si>
    <t>ML.00009</t>
  </si>
  <si>
    <t>YP.00024</t>
  </si>
  <si>
    <t>YP.00023</t>
  </si>
  <si>
    <t>YP.00022</t>
  </si>
  <si>
    <t>YP.00021</t>
  </si>
  <si>
    <t>YP.00020</t>
  </si>
  <si>
    <t>YP.00019</t>
  </si>
  <si>
    <t>EN.00014</t>
  </si>
  <si>
    <t>EN.00013</t>
  </si>
  <si>
    <t>EN.00057</t>
  </si>
  <si>
    <t>EN.00012</t>
  </si>
  <si>
    <t>EN.00011</t>
  </si>
  <si>
    <t>ML.00001</t>
  </si>
  <si>
    <t>ML.00019</t>
  </si>
  <si>
    <t>ML.00016</t>
  </si>
  <si>
    <t>ML.00017</t>
  </si>
  <si>
    <t>ML.00006</t>
  </si>
  <si>
    <t>ML.00021</t>
  </si>
  <si>
    <t>ML.00012</t>
  </si>
  <si>
    <t>ML.00018</t>
  </si>
  <si>
    <t>ML.00022</t>
  </si>
  <si>
    <t>ML.00023</t>
  </si>
  <si>
    <t>TM.00329</t>
  </si>
  <si>
    <t>TM.00328</t>
  </si>
  <si>
    <t>TM.00327</t>
  </si>
  <si>
    <t>TM.00326</t>
  </si>
  <si>
    <t>TM.00325</t>
  </si>
  <si>
    <t>TM.00324</t>
  </si>
  <si>
    <t>TM.00398</t>
  </si>
  <si>
    <t>TM.00340</t>
  </si>
  <si>
    <t>TM.00339</t>
  </si>
  <si>
    <t>TM.00397</t>
  </si>
  <si>
    <t>TM.00047</t>
  </si>
  <si>
    <t>TM.00046</t>
  </si>
  <si>
    <t>TM.00241</t>
  </si>
  <si>
    <t>KEA.00010</t>
  </si>
  <si>
    <t>DAVLUMBAZ MİKROLİNE BEYAZ</t>
  </si>
  <si>
    <t>KEA.00013</t>
  </si>
  <si>
    <t>TM.00045</t>
  </si>
  <si>
    <t>TM.00044</t>
  </si>
  <si>
    <t>KEA.00284</t>
  </si>
  <si>
    <t>ML.00049</t>
  </si>
  <si>
    <t>ML.00058</t>
  </si>
  <si>
    <t>ML.00048</t>
  </si>
  <si>
    <t>EN.00042</t>
  </si>
  <si>
    <t>EN.00041</t>
  </si>
  <si>
    <t>EN.00040</t>
  </si>
  <si>
    <t>EN.00039</t>
  </si>
  <si>
    <t>EN.00038</t>
  </si>
  <si>
    <t>EN.00037</t>
  </si>
  <si>
    <t>EN.00036</t>
  </si>
  <si>
    <t>EN.00035</t>
  </si>
  <si>
    <t>KEA.00273</t>
  </si>
  <si>
    <t>KEA.00270</t>
  </si>
  <si>
    <t>KEA.00272</t>
  </si>
  <si>
    <t>ML.00013</t>
  </si>
  <si>
    <t>ML.00002</t>
  </si>
  <si>
    <t>TM.00396</t>
  </si>
  <si>
    <t>TM.00408</t>
  </si>
  <si>
    <t>TM.00277</t>
  </si>
  <si>
    <t>TM.00316</t>
  </si>
  <si>
    <t>BM REDÜKSİYON (PİKNİK MUSLUK APARATLI)</t>
  </si>
  <si>
    <t>TM.00276</t>
  </si>
  <si>
    <t>TM.00275</t>
  </si>
  <si>
    <t>TM.00274</t>
  </si>
  <si>
    <t>TM.00273</t>
  </si>
  <si>
    <t>KEA.00169</t>
  </si>
  <si>
    <t>KEA.00208</t>
  </si>
  <si>
    <t>KEA.00089</t>
  </si>
  <si>
    <t>MG.00036</t>
  </si>
  <si>
    <t>KEA.00062</t>
  </si>
  <si>
    <t>KEA.00061</t>
  </si>
  <si>
    <t>MG.00066</t>
  </si>
  <si>
    <t>MG.00067</t>
  </si>
  <si>
    <t>KEA.00105</t>
  </si>
  <si>
    <t>KEA.00206</t>
  </si>
  <si>
    <t>ML.00026</t>
  </si>
  <si>
    <t>KEA.00017</t>
  </si>
  <si>
    <t>ML.00033</t>
  </si>
  <si>
    <t>ML.00032</t>
  </si>
  <si>
    <t>KEA.00199</t>
  </si>
  <si>
    <t>KEA.00091</t>
  </si>
  <si>
    <t>KEA.00200</t>
  </si>
  <si>
    <t>MG.00032</t>
  </si>
  <si>
    <t>TM.00198</t>
  </si>
  <si>
    <t>TM.00301</t>
  </si>
  <si>
    <t>TM.00300</t>
  </si>
  <si>
    <t>ML.00008</t>
  </si>
  <si>
    <t>KEA.00014</t>
  </si>
  <si>
    <t>KEA.00011</t>
  </si>
  <si>
    <t>KEA.00009</t>
  </si>
  <si>
    <t>KEA.00016</t>
  </si>
  <si>
    <t>KEA.00015</t>
  </si>
  <si>
    <t>KEA.00162</t>
  </si>
  <si>
    <t>KEA.00214</t>
  </si>
  <si>
    <t>KEA.00134</t>
  </si>
  <si>
    <t>KEA.00133</t>
  </si>
  <si>
    <t>KEA.00132</t>
  </si>
  <si>
    <t>KEA.00128</t>
  </si>
  <si>
    <t>KEA.00059</t>
  </si>
  <si>
    <t>KEA.00058</t>
  </si>
  <si>
    <t>KEA.00052</t>
  </si>
  <si>
    <t>TM.00246</t>
  </si>
  <si>
    <t>TM.00407</t>
  </si>
  <si>
    <t>TM.00395</t>
  </si>
  <si>
    <t>TM.00244</t>
  </si>
  <si>
    <t>TM.00030</t>
  </si>
  <si>
    <t>KEA.00008</t>
  </si>
  <si>
    <t>KEA.00006</t>
  </si>
  <si>
    <t>KEA.00004</t>
  </si>
  <si>
    <t>KEA.00001</t>
  </si>
  <si>
    <t>KEA.00049</t>
  </si>
  <si>
    <t>KEA.00048</t>
  </si>
  <si>
    <t>KEA.00047</t>
  </si>
  <si>
    <t>KEA.00046</t>
  </si>
  <si>
    <t>KEA.00045</t>
  </si>
  <si>
    <t>KEA.00044</t>
  </si>
  <si>
    <t>KEA.00043</t>
  </si>
  <si>
    <t>KEA.00038</t>
  </si>
  <si>
    <t>KEA.00039</t>
  </si>
  <si>
    <t>TM.00272</t>
  </si>
  <si>
    <t>TM.00271</t>
  </si>
  <si>
    <t>TM.00270</t>
  </si>
  <si>
    <t>TM.00267</t>
  </si>
  <si>
    <t>TM.00269</t>
  </si>
  <si>
    <t>TM.00025</t>
  </si>
  <si>
    <t>TM.00336</t>
  </si>
  <si>
    <t>Mt</t>
  </si>
  <si>
    <t>TM.00335</t>
  </si>
  <si>
    <t>TM.00334</t>
  </si>
  <si>
    <t>8MM SANAYİ/OKSİJEN HORTUM</t>
  </si>
  <si>
    <t>TM.00333</t>
  </si>
  <si>
    <t>TM.00332</t>
  </si>
  <si>
    <t>TM.00010</t>
  </si>
  <si>
    <t>YP.00264</t>
  </si>
  <si>
    <t>TM.00331</t>
  </si>
  <si>
    <t>TM.00330</t>
  </si>
  <si>
    <t>TM.00337</t>
  </si>
  <si>
    <t>ML.00082</t>
  </si>
  <si>
    <t>ML.00081</t>
  </si>
  <si>
    <t>ML.00080</t>
  </si>
  <si>
    <t>ZİGON C AHŞAP</t>
  </si>
  <si>
    <t>diger/rowenta_rb_50_kagit_torba.jpg</t>
  </si>
  <si>
    <t>endustriyel/cay_ocagi_kaplanli_30_40'lik_dg.jpg</t>
  </si>
  <si>
    <t>endustriyel/cay_ocagi_kaplanli_30_40'lik_lpg.jpg</t>
  </si>
  <si>
    <t>endustriyel/kaplanli_pleyt_izgara_50cm_elekt_hamburger_kofte.jpg</t>
  </si>
  <si>
    <t>endustriyel/lokanta_ocagi_kaplanli_3_lu_kisa_gaz_em_dg.jpg</t>
  </si>
  <si>
    <t>endustriyel/lokanta_ocagi_kaplanli_3_lu_kisa_gaz_emlpg.jpg</t>
  </si>
  <si>
    <t>kea/aski_aparati_hook_tavan_27_37''.jpg</t>
  </si>
  <si>
    <t>kea/aski_aparati_hook_tavan_38_50''.jpg</t>
  </si>
  <si>
    <t>kea/femas_3_lu_lpg_ocak_.jpg</t>
  </si>
  <si>
    <t>kea/femas_4_lu_lpg_ocak.jpg</t>
  </si>
  <si>
    <t>kea/firin_akel_af007_af010_yuvarlak.jpg</t>
  </si>
  <si>
    <t>kea/firin_samdan_1007_buyuk_termostatli_camli_yuvarlak.jpg</t>
  </si>
  <si>
    <t>kea/firin_samdan_termostatli_1005_yuvarlak.jpg</t>
  </si>
  <si>
    <t>kea/kettle_conti_metallica_ck_248.jpg</t>
  </si>
  <si>
    <t>kea/quartz_soba_samdan_3001_3002_(2+1)_1650w.jpg</t>
  </si>
  <si>
    <t>kea/quartz_soba_samdan_3004.jpg</t>
  </si>
  <si>
    <t>kea/quartz_soba_samdan_3005_quartz.jpg</t>
  </si>
  <si>
    <t>kea/quartz_soba_samdan_3009_soba.jpg</t>
  </si>
  <si>
    <t>kea/sac_masasi_range_sd_3000.jpg</t>
  </si>
  <si>
    <t>kea/supurge_fantom_eco_wd_2750_s.jpg</t>
  </si>
  <si>
    <t>kea/supurge_fischer_ru_205_islak_kuru.jpg</t>
  </si>
  <si>
    <t>kea/sofben_yildiray_musluk_ustu.jpg</t>
  </si>
  <si>
    <t>kea/ufo_samdan_4001_(3000_w).jpg</t>
  </si>
  <si>
    <t>kea/ufo_samdan_4003_(2200w).jpg</t>
  </si>
  <si>
    <t>mobilya/ayakkabilik_metal_3_lu.jpg</t>
  </si>
  <si>
    <t>mobilya/ayakkabilik_metal_4_lu.jpg</t>
  </si>
  <si>
    <t>mobilya/calisma_masasi_retro_(pyrz).jpg</t>
  </si>
  <si>
    <t>mobilya/metal_bahce_takimi_2_1_1_(omur).jpg</t>
  </si>
  <si>
    <t>mobilya/metal_bahce_takimi_3_1_1_(omur).jpg</t>
  </si>
  <si>
    <t>mobilya/tv_sehpasi_yekta_magnum_aytasi.jpg</t>
  </si>
  <si>
    <t>mssz/masa_mdf_x_ayak_surgulu_carara/bmermer_canipek.jpg</t>
  </si>
  <si>
    <t>mssz/masa_yuvarlak_odabasi.jpg</t>
  </si>
  <si>
    <t>mssz/orta_sehpa_c_ahsap_tnd.jpg</t>
  </si>
  <si>
    <t>mssz/orta_sehpa_kelebek_ahsap_krem.jpg</t>
  </si>
  <si>
    <t>mssz/orta_sehpa_otto_odabasi.jpg</t>
  </si>
  <si>
    <t>mssz/orta_sehpa_yasam_4+1_odabasi.jpg</t>
  </si>
  <si>
    <t>mssz/sandalye_lotus_odabasi.jpg</t>
  </si>
  <si>
    <t>mssz/yasam_4+1_set_ahsap_odabasi.jpg</t>
  </si>
  <si>
    <t>tup/elcek_damacana_kulp.jpg</t>
  </si>
  <si>
    <t>tup/isi_meka_kamp_ocak_aygaz.jpg</t>
  </si>
  <si>
    <t>tup/lav_tasi_2_kg.jpg</t>
  </si>
  <si>
    <t>tup/murat_gecme_sohben_dedantoru.jpg</t>
  </si>
  <si>
    <t>tup/murat_vanali_sofben_dedantoru.jpg</t>
  </si>
  <si>
    <t>tup/nurgaz_190_gr_kartus_.jpg</t>
  </si>
  <si>
    <t>tup/nurgaz_220_gr_uzun_kartus_.jpg</t>
  </si>
  <si>
    <t>tup/nurgaz_500_gr_kartus.jpg</t>
  </si>
  <si>
    <t>tup/nurgaz_gunes_2_soba_.jpg</t>
  </si>
  <si>
    <t>tup/nurgaz_ng_0060_saloma.jpg</t>
  </si>
  <si>
    <t>tup/nurgaz_ng_0150_saloma.jpg</t>
  </si>
  <si>
    <t>tup/nurgaz_ng_0250_kuyumcu_saloma_.jpg</t>
  </si>
  <si>
    <t>tup/nurgaz_ng_0350_saloma.jpg</t>
  </si>
  <si>
    <t>tup/nurgaz_ng_0500_saloma.jpg</t>
  </si>
  <si>
    <t>tup/nurgaz_ng_0550_saloma.jpg</t>
  </si>
  <si>
    <t>tup/nurgaz_ng_0600_saloma.jpg</t>
  </si>
  <si>
    <t>tup/nurgaz_ng_0650_saloma.jpg</t>
  </si>
  <si>
    <t>tup/nurgaz_ng_0700_saloma.jpg</t>
  </si>
  <si>
    <t>tup/nurgaz_ng_075_troya_ocak.jpg</t>
  </si>
  <si>
    <t>tup/nurgaz_ng_076_olympos_ocak.jpg</t>
  </si>
  <si>
    <t>tup/nurgaz_ng_0800_saloma.jpg</t>
  </si>
  <si>
    <t>tup/nurgaz_ng_1300_saloma.jpg</t>
  </si>
  <si>
    <t>tup/nurgaz_ng_503_torch_purmuz.jpg</t>
  </si>
  <si>
    <t>tup/nurgaz_uzun_kartus_ng_207.jpg</t>
  </si>
  <si>
    <t>diger/kucultucu_cezvelik.jpg</t>
  </si>
  <si>
    <t>endustriyel/kaplanli_60x70_yer_ocagi_cift_yanisli.jpg</t>
  </si>
  <si>
    <t>endustriyel/lokanta_ocagi_cift_yanisli_60*60.jpg</t>
  </si>
  <si>
    <t>endustriyel/lokanta_ocagi_kaplanli_2_li_gaz_em_kisa_lpg.jpg</t>
  </si>
  <si>
    <t>endustriyel/lokanta_ocagi_kaplanli_2_li_gaz_em_uzun_lpg.jpg</t>
  </si>
  <si>
    <t>kea/baskul_voog_digital_sarjli.jpg</t>
  </si>
  <si>
    <t>kea/besik_bahar.jpg</t>
  </si>
  <si>
    <t>kea/blender_range_sb_2321_kisisel_blender.jpg</t>
  </si>
  <si>
    <t>kea/davlumbaz_mikroline_beyaz.jpg</t>
  </si>
  <si>
    <t>kea/femas_2_li_lpg_ocak_.jpg</t>
  </si>
  <si>
    <t>kea/firin_erendemir_yuvarlak_gf_1001.jpg</t>
  </si>
  <si>
    <t>kea/firin_minisan_2002_45_lt_koseli.jpg</t>
  </si>
  <si>
    <t>kea/firin_minisan_aysegul_davul.jpg</t>
  </si>
  <si>
    <t>kea/firin_simfer_4502_koseli.jpg</t>
  </si>
  <si>
    <t>kea/firin_samdan_2003_koseli.jpg</t>
  </si>
  <si>
    <t>kea/firin_samdan_2005_koseli_turbolu.jpg</t>
  </si>
  <si>
    <t>kea/firin_samdan_2023_70_lt_koseli.jpg</t>
  </si>
  <si>
    <t>kea/firin_samdan_2033_(cift_camli)_60_lt_koseli.jpg</t>
  </si>
  <si>
    <t>kea/firin_samdan_buyuk_donerli_1000t.jpg</t>
  </si>
  <si>
    <t>kea/firin_samdan_donerli_1003.jpg</t>
  </si>
  <si>
    <t>kea/hamur_karma_fakir_mixchef_mutfak_sefi.jpg</t>
  </si>
  <si>
    <t>kea/izgara_ugur_elektrikli.jpg</t>
  </si>
  <si>
    <t>kea/kettle_conti_aqua__red_ck_238.jpg</t>
  </si>
  <si>
    <t>kea/kettle_conti_aqua_color_ck_238.jpg</t>
  </si>
  <si>
    <t>kea/kettle_conti_crystal_ck_305.jpg</t>
  </si>
  <si>
    <t>kea/minisan_sarhos_vantilator_venus_18inc.jpg</t>
  </si>
  <si>
    <t>kea/minisan_maximus_klasik_gaz_emniyetli_ocak.jpg</t>
  </si>
  <si>
    <t>kea/quartz_soba_hook_gunes_2_cbk_mini.jpg</t>
  </si>
  <si>
    <t>kea/quartz_soba_samdan_3003_slim.jpg</t>
  </si>
  <si>
    <t>kea/quartz_soba_samdan_3003_slim_infrared_.jpg</t>
  </si>
  <si>
    <t>kea/quartz_soba_samdan_3005_infrared.jpg</t>
  </si>
  <si>
    <t>kea/rondo_conti_quickmaster_cmd_305.jpg</t>
  </si>
  <si>
    <t>kea/sac_duzlestici_fakir_harvey.jpg</t>
  </si>
  <si>
    <t>kea/sac_kurutma_makinesi_conti_cool_chd_120.jpg</t>
  </si>
  <si>
    <t>kea/sac_kurutma_makinesi_raks_katlanabilir_rk_1750.jpg</t>
  </si>
  <si>
    <t>kea/sac_masa_ve_sekillendirici_conti_twiny.jpg</t>
  </si>
  <si>
    <t>kea/sac_masasi_conti.jpg</t>
  </si>
  <si>
    <t>kea/sac_masasi_fakir_estelle.jpg</t>
  </si>
  <si>
    <t>kea/sac_masasi_fakir_hiedra.jpg</t>
  </si>
  <si>
    <t>kea/semaver_pegasus_hanzade_elektrikli_45lt_(6).jpg</t>
  </si>
  <si>
    <t>kea/supurge_fantom_pratic_s_p_1200_kuru.jpg</t>
  </si>
  <si>
    <t>kea/sofben_alerso_elektrikli.jpg</t>
  </si>
  <si>
    <t>kea/sofben_fakir_calenta_elektrikli.jpg</t>
  </si>
  <si>
    <t>kea/sofben_fakir_olympus_thermo_elektrik.jpg</t>
  </si>
  <si>
    <t>kea/sofben_hook_spring_elektrikli.jpg</t>
  </si>
  <si>
    <t>kea/sofben_sem_elegance_elektrikli.jpg</t>
  </si>
  <si>
    <t>kea/sofben_yildiray__mutfak_sofbeni.jpg</t>
  </si>
  <si>
    <t>kea/sofben_yildiray_elektrikli_sofben.jpg</t>
  </si>
  <si>
    <t>kea/termos_cooker_13_lt_renkli_cam.jpg</t>
  </si>
  <si>
    <t>kea/tost_makinesi_awox___lider.jpg</t>
  </si>
  <si>
    <t>kea/tost_makinesi_conti_maestro_cg_210.jpg</t>
  </si>
  <si>
    <t>kea/tost_makinesi_lider_savio_lt_15.jpg</t>
  </si>
  <si>
    <t>kea/tras_makinesi_powertech.jpg</t>
  </si>
  <si>
    <t>kea/ufo_dikey_samdan_4005_(2200w).jpg</t>
  </si>
  <si>
    <t>kea/utu_philips_sglide_dst_5030_2500w.jpg</t>
  </si>
  <si>
    <t>mobilya/ayakkabilik_ahsap_(ist).jpg</t>
  </si>
  <si>
    <t>mobilya/ayakkabilik_metal_2_li.jpg</t>
  </si>
  <si>
    <t>mobilya/bilgisayar_calisma_masasi_kutuphaneli_(ist).jpg</t>
  </si>
  <si>
    <t>mobilya/calisma_masasi_(ist).jpg</t>
  </si>
  <si>
    <t>mobilya/cay_seti_sabit_ahsap_ayak.jpg</t>
  </si>
  <si>
    <t>mobilya/sekreter_koltugu_evo_sabit_baslik.jpg</t>
  </si>
  <si>
    <t>mobilya/sifonyer_aynali_(ist).jpg</t>
  </si>
  <si>
    <t>mobilya/tv_unitesi_somineli_dosemeli_.jpg</t>
  </si>
  <si>
    <t>mssz/masa_mdf_x_ayak_surgulu_acam/ceviz_canipek.jpg</t>
  </si>
  <si>
    <t>mssz/orta_sehpa_camli_60*100_tekerlekli_massan.jpg</t>
  </si>
  <si>
    <t>mssz/orta_sehpa_camli_70*110_tekerlekli__massan.jpg</t>
  </si>
  <si>
    <t>mssz/yasam_4+1_ahsap_nikel_odabasi.jpg</t>
  </si>
  <si>
    <t>mssz/yasam_4+1_ahsap_pizza_alfa.jpg</t>
  </si>
  <si>
    <t>tup/8mm_sanayi/oksijen_hortum.jpg</t>
  </si>
  <si>
    <t>tup/aygaz_hortum_girisli_musluk_.jpg</t>
  </si>
  <si>
    <t>tup/bm_reduksiyon_(piknik_musluk_aparatli).jpg</t>
  </si>
  <si>
    <t>tup/dik_hortum_girisi.jpg</t>
  </si>
  <si>
    <t>tup/en_kucuk_dogalgaz_girisi.jpg</t>
  </si>
  <si>
    <t>tup/en_kucuk_ocak_hortum_girisi.jpg</t>
  </si>
  <si>
    <t>tup/firin_dogalgaz_girisi_.jpg</t>
  </si>
  <si>
    <t>tup/firin_hortum_girisi_genis_olan.jpg</t>
  </si>
  <si>
    <t>tup/firin_kortapa_genis.jpg</t>
  </si>
  <si>
    <t>tup/isi_meka_kamp_ocak_ipra.jpg</t>
  </si>
  <si>
    <t>tup/ipra_hortum_girisli_musluk.jpg</t>
  </si>
  <si>
    <t>tup/kahveci_ocak_muslugu_ince_dis.jpg</t>
  </si>
  <si>
    <t>tup/kahveci_ocak_muslugu_kalin_dis.jpg</t>
  </si>
  <si>
    <t>tup/luks_gomlegi_kartuslu_icin_nurgaz.jpg</t>
  </si>
  <si>
    <t>tup/nurgaz_230_gr_vidali_kartus.jpg</t>
  </si>
  <si>
    <t>tup/nurgaz_450_gr_vidali_kartus.jpg</t>
  </si>
  <si>
    <t>tup/nurgaz_ng_0975_saloma_tetikli_(25_cm).jpg</t>
  </si>
  <si>
    <t>tup/nurgaz_ng_0985_saloma_tetikli_(33_cm).jpg</t>
  </si>
  <si>
    <t>tup/nurgaz_ng_0995_saloma_tetikli_(13_cm).jpg</t>
  </si>
  <si>
    <t>tup/nurgaz_ng_1010_saloma_tetikli_(45cm).jpg</t>
  </si>
  <si>
    <t>tup/nurgaz_ng_1060_saloma_tetikli_(75cm).jpg</t>
  </si>
  <si>
    <t>tup/ocak_dogalgaz_giris.jpg</t>
  </si>
  <si>
    <t>tup/ocak_hortum_girisi.jpg</t>
  </si>
  <si>
    <t>tup/reduksiyon_hortum_girisli.jpg</t>
  </si>
  <si>
    <t>tup/suzgec_genis.jpg</t>
  </si>
  <si>
    <t>Türü</t>
  </si>
  <si>
    <t>kea/yayik_minisan_10_lt_kaymakci.jpg</t>
  </si>
  <si>
    <t>kea/yayik_minisan_15_lt_yuvarlak.jpg</t>
  </si>
  <si>
    <t>kea/yayik_minisan_25_lt_yuvarlak.jpg</t>
  </si>
  <si>
    <t>kea/yayik_minisan_37_lt_yuvarlak.jpg</t>
  </si>
  <si>
    <t>kea/yayik_minisan_40_lt_yuvarlak.jpg</t>
  </si>
  <si>
    <t>kea/yayik_minisan_45_lt_yuvarlak.jpg</t>
  </si>
  <si>
    <t>kea/yayik_minisan_55_lt_koseli.jpg</t>
  </si>
  <si>
    <t>kea/yayik_minisan_55_lt_yuvarlak.jpg</t>
  </si>
  <si>
    <t>kea/yayik_sahbaz_10_lt_kahvaltim_(musluklu).jpg</t>
  </si>
  <si>
    <t>kea/yayik_sahbaz_10_lt_yuvarlak.jpg</t>
  </si>
  <si>
    <t>kea/yayik_sahbaz_20_lt_yagmatik.jpg</t>
  </si>
  <si>
    <t>kea/yayik_sahbaz_35_lt_yuvarlak.jpg</t>
  </si>
  <si>
    <t>kea/yayik_sahbaz_40_lt_yuvarlak.jpg</t>
  </si>
  <si>
    <t>kea/yayik_sahbaz_50_lt_yuvarlak.jpg</t>
  </si>
  <si>
    <t>kea/yayik_sahbaz_60_lt_yuvarlak.jpg</t>
  </si>
  <si>
    <t>kea/yemek_takimi_bambum_24_parca.jpg</t>
  </si>
  <si>
    <t>kea/zeytin_anadizi.jpg</t>
  </si>
  <si>
    <t>mssz/yasam_4+1_set_camli_gold_altinaksesuar.jpg</t>
  </si>
  <si>
    <t>mssz/yasam_4+1_set_camli_nikel_altinaksesuar.jpg</t>
  </si>
  <si>
    <t>mssz/yasam_4+1_set_camli_nikel_odabasi.jpg</t>
  </si>
  <si>
    <t>mssz/zigon_a_camli_ince_ayak.jpg</t>
  </si>
  <si>
    <t>mssz/zigon_a_camli_kalin_ayak.jpg</t>
  </si>
  <si>
    <t>mssz/zigon_a_tepsi_metal_ayak.jpg</t>
  </si>
  <si>
    <t>mssz/zigon_c_3_lu_tekerlekli_tascioglu.jpg</t>
  </si>
  <si>
    <t>mssz/zigon_c_4_lu_nikel_coskun.jpg</t>
  </si>
  <si>
    <t>mssz/zigon_c_4_lu_tekerlekli_coskun.jpg</t>
  </si>
  <si>
    <t>mssz/zigon_c_ahsap.jpg</t>
  </si>
  <si>
    <t>mssz/zigon_c_ahsap_alfa.jpg</t>
  </si>
  <si>
    <t>mssz/zigon_c_ahsap_tnd.jpg</t>
  </si>
  <si>
    <t>mssz/zigon_c_camli_gold.jpg</t>
  </si>
  <si>
    <t>mssz/zigon_c_hasir_ahsap_nikel_odabasi.jpg</t>
  </si>
  <si>
    <t>mssz/zigon_c_hasir_camli_gold_alfa.jpg</t>
  </si>
  <si>
    <t>mssz/zigon_canta_camli_baskili_.jpg</t>
  </si>
  <si>
    <t>mssz/zigon_canta_mebran.jpg</t>
  </si>
  <si>
    <t>mssz/zigon_canta_mebran_erelya_(tnd).jpg</t>
  </si>
  <si>
    <t>mssz/zigon_demet_boyali.jpg</t>
  </si>
  <si>
    <t>mssz/zigon_hilal_tekerlekli_nikel_(mssn).jpg</t>
  </si>
  <si>
    <t>mssz/zigon_kugu_camli.jpg</t>
  </si>
  <si>
    <t>mssz/zigon_kum_saati_camli.jpg</t>
  </si>
  <si>
    <t>mssz/zigon_kum_saati_hasirli_camli.jpg</t>
  </si>
  <si>
    <t>mssz/zigon_lukens_demonte_beyaz_duz.jpg</t>
  </si>
  <si>
    <t>mssz/zigon_lukens_demonte_beyaz_oymali.jpg</t>
  </si>
  <si>
    <t>mssz/zigon_lukens_demonte_krem_duz.jpg</t>
  </si>
  <si>
    <t>mssz/zigon_lukens_demonte_krem_oymali.jpg</t>
  </si>
  <si>
    <t>mssz/zigon_lukens_krem_canipek.jpg</t>
  </si>
  <si>
    <t>mssz/zigon_nejla.jpg</t>
  </si>
  <si>
    <t>mssz/zigon_otto_odabasi.jpg</t>
  </si>
  <si>
    <t>mssz/zigon_piyano_mdf_kare.jpg</t>
  </si>
  <si>
    <t>mssz/zigon_piyano_mdf_yuvarlak.jpg</t>
  </si>
  <si>
    <t>mssz/zigon_pota_camli.jpg</t>
  </si>
  <si>
    <t>mssz/zigon_sedef_duz_beyaz.jpg</t>
  </si>
  <si>
    <t>mssz/zigon_tekerli_gold.jpg</t>
  </si>
  <si>
    <t>mssz/zigon_tekerli_nikel.jpg</t>
  </si>
  <si>
    <t>mssz/zigon_tekerli_siyah.jpg</t>
  </si>
  <si>
    <t>mssz/zigon_tepsi_camli_.jpg</t>
  </si>
  <si>
    <t>mssz/zigon_tepsi_tnd.jpg</t>
  </si>
  <si>
    <t>mssz/zigon_tepsi_yeni_yildiz_.jpg</t>
  </si>
  <si>
    <t>mssz/zigon_yuvarlak_camli_kugu.jpg</t>
  </si>
  <si>
    <t>ORTA SEHPA HASIR C CAMLI GOLD/NİKEL ODABAŞI</t>
  </si>
  <si>
    <t>mssz/zigon_4_lu_terlekli_(pyrz).jpg</t>
  </si>
  <si>
    <t>mssz/zigon_wood_(_pyrz).jpg</t>
  </si>
  <si>
    <t>diger/duduklu_lastigi_10_12.jpg</t>
  </si>
  <si>
    <t>diger/duduklu_lastigi_5_6_/_7_8_siyah_beyaz.jpg</t>
  </si>
  <si>
    <t>diger/kutulu_emici_32_35_mm.jpg</t>
  </si>
  <si>
    <t>kea/minisan_maximus_6401_ffd_ocak.jpg</t>
  </si>
  <si>
    <t>mobilya/sandalye_plastik_bergama.jpg</t>
  </si>
  <si>
    <t>mobilya/sandalye_plastik_napoli_luks.jpg</t>
  </si>
  <si>
    <t>mobilya/sandalye_plastik_oscar_metal_ayakli.jpg</t>
  </si>
  <si>
    <t>mobilya/sandalye_plastik_rattan__hilton.jpg</t>
  </si>
  <si>
    <t>mssz/masa_lak_80*130__x_ayak_surgulu.jpg</t>
  </si>
  <si>
    <t>mssz/masa_mdf_kelebek.jpg</t>
  </si>
  <si>
    <t>mssz/masa_mdf_x_ayak_surgulu.jpg</t>
  </si>
  <si>
    <t>mssz/masa_plastik_palmira_70*120.jpg</t>
  </si>
  <si>
    <t>mssz/masa_plastik_rattan_florya_90*150.jpg</t>
  </si>
  <si>
    <t>mssz/masa_silva_sabit.jpg</t>
  </si>
  <si>
    <t>mssz/masa_sunta_sabit.jpg</t>
  </si>
  <si>
    <t>mssz/orta_sehpa_c_camli_nikel_/_gold.jpg</t>
  </si>
  <si>
    <t>mssz/orta_sehpa_hasir_c_ahsap_nikel_/_gold.jpg</t>
  </si>
  <si>
    <t>mssz/orta_sehpa_hasir_c_camli_gold/nikel_odabasi.jpg</t>
  </si>
  <si>
    <t>mssz/orta_sehpa_izmir.jpg</t>
  </si>
  <si>
    <t>mssz/orta_sehpa_kugu_nikel_/_gold_camli_alfa.jpg</t>
  </si>
  <si>
    <t>mssz/orta_sehpa_kugu_nikel_/_gold_camli_altinaksesuar.jpg</t>
  </si>
  <si>
    <t>mssz/orta_sehpa_lukens_canipek.jpg</t>
  </si>
  <si>
    <t>mssz/sandalye_ada_as_home_.jpg</t>
  </si>
  <si>
    <t>mssz/sandalye_alya_bf_as_home.jpg</t>
  </si>
  <si>
    <t>mssz/sandalye_asalet_as_home.jpg</t>
  </si>
  <si>
    <t>mssz/sandalye_elma_bf_as_home.jpg</t>
  </si>
  <si>
    <t>mssz/sandalye_gold_as_home.jpg</t>
  </si>
  <si>
    <t>mssz/sandalye_kare_gold_bf_as_home.jpg</t>
  </si>
  <si>
    <t>mssz/sandalye_liya_bf_as_home.jpg</t>
  </si>
  <si>
    <t>mssz/yasam_4+1_ahsap_nikel_/_gold_odabasi.jpg</t>
  </si>
  <si>
    <t>mssz/yasam_4+1_set_camli_nikel_/_gold_odabasi.jpg</t>
  </si>
  <si>
    <t>mssz/zigon_c_camli_nikel_/_gold.jpg</t>
  </si>
  <si>
    <t>mssz/zigon_c_hasir_ahsap_nikel_/_gold_odabasi.jpg</t>
  </si>
  <si>
    <t>mssz/zigon_c_hasir_camli_nikel_/_gold_odabasi.jpg</t>
  </si>
  <si>
    <t>mssz/zigon_gurgen.jpg</t>
  </si>
  <si>
    <t>mssz/zigon_izmir.jpg</t>
  </si>
  <si>
    <t>mssz/zigon_lukens_sabit.jpg</t>
  </si>
  <si>
    <t>mssz/zigon_lukens_canipek.jpg</t>
  </si>
  <si>
    <t>tup/kelepce.jpg</t>
  </si>
  <si>
    <t>MEME (DOĞALGAZ/LPG)</t>
  </si>
  <si>
    <t>tup/meme_(dogalgaz/lpg).jpg</t>
  </si>
  <si>
    <t>VOLKAN MUSLUK</t>
  </si>
  <si>
    <t>tup/volkan_musluk.jpg</t>
  </si>
  <si>
    <t>CONTALAR</t>
  </si>
  <si>
    <t>tup/contalar.jpg</t>
  </si>
  <si>
    <t>İpra, Aygaz, Piknik ve Dedantör Contalar.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</si>
</sst>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G882"/>
  <sheetViews>
    <sheetView tabSelected="1" topLeftCell="A605" workbookViewId="0">
      <selection activeCell="F623" sqref="F623"/>
    </sheetView>
  </sheetViews>
  <sheetFormatPr defaultRowHeight="15" x14ac:dyDescent="0.25"/>
  <cols>
    <col min="1" max="1" width="54.5703125" bestFit="1" customWidth="1"/>
    <col min="2" max="2" width="16.140625" style="1" customWidth="1"/>
    <col min="3" max="3" width="2.85546875" bestFit="1" customWidth="1"/>
    <col min="4" max="4" width="11.140625" bestFit="1" customWidth="1"/>
    <col min="5" max="5" width="36.28515625" customWidth="1"/>
    <col min="6" max="6" width="63.85546875" customWidth="1"/>
    <col min="7" max="7" width="236.42578125" bestFit="1" customWidth="1"/>
  </cols>
  <sheetData>
    <row r="1" spans="1:7" x14ac:dyDescent="0.25">
      <c r="A1" t="s">
        <v>773</v>
      </c>
      <c r="B1" s="1">
        <v>2000</v>
      </c>
      <c r="C1" t="s">
        <v>0</v>
      </c>
      <c r="D1" t="s">
        <v>1390</v>
      </c>
      <c r="E1" t="s">
        <v>1400</v>
      </c>
      <c r="F1" t="s">
        <v>1398</v>
      </c>
      <c r="G1" t="str">
        <f t="shared" ref="G1:G64" si="0">"https://wa.me/905425127759?text=" &amp; _xlfn.ENCODEURL("*" &amp; A1 &amp; "* ürünü hakkında bilgi almak istiyorum.")</f>
        <v>https://wa.me/905425127759?text=%2A3%20L%C3%9C%20KOLLEKT%C3%96R%2A%20%C3%BCr%C3%BCn%C3%BC%20hakk%C4%B1nda%20bilgi%20almak%20istiyorum.</v>
      </c>
    </row>
    <row r="2" spans="1:7" x14ac:dyDescent="0.25">
      <c r="A2" t="s">
        <v>1464</v>
      </c>
      <c r="B2" s="1">
        <v>240</v>
      </c>
      <c r="C2" t="s">
        <v>0</v>
      </c>
      <c r="D2" t="s">
        <v>1390</v>
      </c>
      <c r="E2" t="s">
        <v>1400</v>
      </c>
      <c r="F2" t="s">
        <v>2580</v>
      </c>
      <c r="G2" t="str">
        <f t="shared" si="0"/>
        <v>https://wa.me/905425127759?text=%2AD%C3%9CD%C3%9CKL%C3%9C%20LAST%C4%B0%C4%9E%C4%B0%2010-12%2A%20%C3%BCr%C3%BCn%C3%BC%20hakk%C4%B1nda%20bilgi%20almak%20istiyorum.</v>
      </c>
    </row>
    <row r="3" spans="1:7" x14ac:dyDescent="0.25">
      <c r="A3" t="s">
        <v>1466</v>
      </c>
      <c r="B3" s="1">
        <v>170</v>
      </c>
      <c r="C3" t="s">
        <v>0</v>
      </c>
      <c r="D3" t="s">
        <v>1390</v>
      </c>
      <c r="E3" t="s">
        <v>1400</v>
      </c>
      <c r="F3" t="s">
        <v>2581</v>
      </c>
      <c r="G3" t="str">
        <f t="shared" si="0"/>
        <v>https://wa.me/905425127759?text=%2AD%C3%9CD%C3%9CKL%C3%9C%20LAST%C4%B0%C4%9E%C4%B0%205-6%20%2F%207-8%20S%C4%B0YAH_BEYAZ%2A%20%C3%BCr%C3%BCn%C3%BC%20hakk%C4%B1nda%20bilgi%20almak%20istiyorum.</v>
      </c>
    </row>
    <row r="4" spans="1:7" x14ac:dyDescent="0.25">
      <c r="A4" t="s">
        <v>619</v>
      </c>
      <c r="B4" s="1">
        <v>130</v>
      </c>
      <c r="C4" t="s">
        <v>0</v>
      </c>
      <c r="D4" t="s">
        <v>1390</v>
      </c>
      <c r="E4" t="s">
        <v>1400</v>
      </c>
      <c r="F4" t="s">
        <v>1391</v>
      </c>
      <c r="G4" t="str">
        <f t="shared" si="0"/>
        <v>https://wa.me/905425127759?text=%2AFANTOM%20BORU%2A%20%C3%BCr%C3%BCn%C3%BC%20hakk%C4%B1nda%20bilgi%20almak%20istiyorum.</v>
      </c>
    </row>
    <row r="5" spans="1:7" x14ac:dyDescent="0.25">
      <c r="A5" t="s">
        <v>629</v>
      </c>
      <c r="B5" s="1">
        <v>200</v>
      </c>
      <c r="C5" t="s">
        <v>0</v>
      </c>
      <c r="D5" t="s">
        <v>1390</v>
      </c>
      <c r="E5" t="s">
        <v>1400</v>
      </c>
      <c r="F5" t="s">
        <v>1397</v>
      </c>
      <c r="G5" t="str">
        <f t="shared" si="0"/>
        <v>https://wa.me/905425127759?text=%2AFANTOM%20B%C3%9CY%C3%9CK%20BEZ%20TORBA%2A%20%C3%BCr%C3%BCn%C3%BC%20hakk%C4%B1nda%20bilgi%20almak%20istiyorum.</v>
      </c>
    </row>
    <row r="6" spans="1:7" x14ac:dyDescent="0.25">
      <c r="A6" t="s">
        <v>620</v>
      </c>
      <c r="B6" s="1">
        <v>380</v>
      </c>
      <c r="C6" t="s">
        <v>0</v>
      </c>
      <c r="D6" t="s">
        <v>1390</v>
      </c>
      <c r="E6" t="s">
        <v>1400</v>
      </c>
      <c r="F6" t="s">
        <v>1392</v>
      </c>
      <c r="G6" t="str">
        <f t="shared" si="0"/>
        <v>https://wa.me/905425127759?text=%2AFANTOM%20DEM%C4%B0R%20BORU%20KALIN%2A%20%C3%BCr%C3%BCn%C3%BC%20hakk%C4%B1nda%20bilgi%20almak%20istiyorum.</v>
      </c>
    </row>
    <row r="7" spans="1:7" x14ac:dyDescent="0.25">
      <c r="A7" t="s">
        <v>621</v>
      </c>
      <c r="B7" s="1">
        <v>250</v>
      </c>
      <c r="C7" t="s">
        <v>0</v>
      </c>
      <c r="D7" t="s">
        <v>1390</v>
      </c>
      <c r="E7" t="s">
        <v>1400</v>
      </c>
      <c r="F7" t="s">
        <v>1393</v>
      </c>
      <c r="G7" t="str">
        <f t="shared" si="0"/>
        <v>https://wa.me/905425127759?text=%2AFANTOM%20EM%C4%B0C%C4%B0%20KALIN%2A%20%C3%BCr%C3%BCn%C3%BC%20hakk%C4%B1nda%20bilgi%20almak%20istiyorum.</v>
      </c>
    </row>
    <row r="8" spans="1:7" x14ac:dyDescent="0.25">
      <c r="A8" t="s">
        <v>622</v>
      </c>
      <c r="B8" s="1">
        <v>180</v>
      </c>
      <c r="C8" t="s">
        <v>0</v>
      </c>
      <c r="D8" t="s">
        <v>1390</v>
      </c>
      <c r="E8" t="s">
        <v>1400</v>
      </c>
      <c r="F8" t="s">
        <v>1394</v>
      </c>
      <c r="G8" t="str">
        <f t="shared" si="0"/>
        <v>https://wa.me/905425127759?text=%2AFANTOM%20HORTUM%20KALIN%2A%20%C3%BCr%C3%BCn%C3%BC%20hakk%C4%B1nda%20bilgi%20almak%20istiyorum.</v>
      </c>
    </row>
    <row r="9" spans="1:7" x14ac:dyDescent="0.25">
      <c r="A9" t="s">
        <v>623</v>
      </c>
      <c r="B9" s="1">
        <v>220</v>
      </c>
      <c r="C9" t="s">
        <v>0</v>
      </c>
      <c r="D9" t="s">
        <v>1390</v>
      </c>
      <c r="E9" t="s">
        <v>1400</v>
      </c>
      <c r="F9" t="s">
        <v>1395</v>
      </c>
      <c r="G9" t="str">
        <f t="shared" si="0"/>
        <v>https://wa.me/905425127759?text=%2AFANTOM%20YATIK%20HORTUM%2A%20%C3%BCr%C3%BCn%C3%BC%20hakk%C4%B1nda%20bilgi%20almak%20istiyorum.</v>
      </c>
    </row>
    <row r="10" spans="1:7" x14ac:dyDescent="0.25">
      <c r="A10" t="s">
        <v>774</v>
      </c>
      <c r="B10" s="1">
        <v>1200</v>
      </c>
      <c r="C10" t="s">
        <v>0</v>
      </c>
      <c r="D10" t="s">
        <v>1390</v>
      </c>
      <c r="E10" t="s">
        <v>1400</v>
      </c>
      <c r="F10" t="s">
        <v>1399</v>
      </c>
      <c r="G10" t="str">
        <f t="shared" si="0"/>
        <v>https://wa.me/905425127759?text=%2AGAZ%20ALARM%20C%C4%B0HAZI%2A%20%C3%BCr%C3%BCn%C3%BC%20hakk%C4%B1nda%20bilgi%20almak%20istiyorum.</v>
      </c>
    </row>
    <row r="11" spans="1:7" x14ac:dyDescent="0.25">
      <c r="A11" t="s">
        <v>1468</v>
      </c>
      <c r="B11" s="1">
        <v>280</v>
      </c>
      <c r="C11" t="s">
        <v>0</v>
      </c>
      <c r="D11" t="s">
        <v>1390</v>
      </c>
      <c r="E11" t="s">
        <v>1400</v>
      </c>
      <c r="F11" t="s">
        <v>2582</v>
      </c>
      <c r="G11" t="str">
        <f t="shared" si="0"/>
        <v>https://wa.me/905425127759?text=%2AKUTULU%20EM%C4%B0C%C4%B0%2032-35%20MM%2A%20%C3%BCr%C3%BCn%C3%BC%20hakk%C4%B1nda%20bilgi%20almak%20istiyorum.</v>
      </c>
    </row>
    <row r="12" spans="1:7" x14ac:dyDescent="0.25">
      <c r="A12" t="s">
        <v>626</v>
      </c>
      <c r="B12" s="1">
        <v>70</v>
      </c>
      <c r="C12" t="s">
        <v>0</v>
      </c>
      <c r="D12" t="s">
        <v>1390</v>
      </c>
      <c r="E12" t="s">
        <v>1400</v>
      </c>
      <c r="F12" t="s">
        <v>2425</v>
      </c>
      <c r="G12" t="str">
        <f t="shared" si="0"/>
        <v>https://wa.me/905425127759?text=%2AK%C3%9C%C3%87%C3%9CLT%C3%9CC%C3%9C-CEZVEL%C4%B0K%2A%20%C3%BCr%C3%BCn%C3%BC%20hakk%C4%B1nda%20bilgi%20almak%20istiyorum.</v>
      </c>
    </row>
    <row r="13" spans="1:7" x14ac:dyDescent="0.25">
      <c r="A13" t="s">
        <v>630</v>
      </c>
      <c r="B13" s="1">
        <v>250</v>
      </c>
      <c r="C13" t="s">
        <v>0</v>
      </c>
      <c r="D13" t="s">
        <v>1390</v>
      </c>
      <c r="E13" t="s">
        <v>1400</v>
      </c>
      <c r="F13" t="s">
        <v>2363</v>
      </c>
      <c r="G13" t="str">
        <f t="shared" si="0"/>
        <v>https://wa.me/905425127759?text=%2AROWENTA%20RB-50%20KA%C4%9EIT%20TORBA%2A%20%C3%BCr%C3%BCn%C3%BC%20hakk%C4%B1nda%20bilgi%20almak%20istiyorum.</v>
      </c>
    </row>
    <row r="14" spans="1:7" x14ac:dyDescent="0.25">
      <c r="A14" t="s">
        <v>627</v>
      </c>
      <c r="B14" s="1">
        <v>700</v>
      </c>
      <c r="C14" t="s">
        <v>0</v>
      </c>
      <c r="D14" t="s">
        <v>1390</v>
      </c>
      <c r="E14" t="s">
        <v>1400</v>
      </c>
      <c r="F14" t="s">
        <v>1396</v>
      </c>
      <c r="G14" t="str">
        <f t="shared" si="0"/>
        <v>https://wa.me/905425127759?text=%2ATABURE%20DEM%C4%B0R%20%C3%87EMBERS%C4%B0Z%2A%20%C3%BCr%C3%BCn%C3%BC%20hakk%C4%B1nda%20bilgi%20almak%20istiyorum.</v>
      </c>
    </row>
    <row r="15" spans="1:7" x14ac:dyDescent="0.25">
      <c r="A15" t="s">
        <v>382</v>
      </c>
      <c r="B15" s="1">
        <v>10800</v>
      </c>
      <c r="C15" t="s">
        <v>0</v>
      </c>
      <c r="D15" t="s">
        <v>872</v>
      </c>
      <c r="E15" t="s">
        <v>1400</v>
      </c>
      <c r="F15" t="s">
        <v>875</v>
      </c>
      <c r="G15" t="str">
        <f t="shared" si="0"/>
        <v>https://wa.me/905425127759?text=%2A%C3%87AY%20OCA%C4%9EI%20KAPLANLI%2010%27LUK%20DG%2A%20%C3%BCr%C3%BCn%C3%BC%20hakk%C4%B1nda%20bilgi%20almak%20istiyorum.</v>
      </c>
    </row>
    <row r="16" spans="1:7" x14ac:dyDescent="0.25">
      <c r="A16" t="s">
        <v>383</v>
      </c>
      <c r="B16" s="1">
        <v>10800</v>
      </c>
      <c r="C16" t="s">
        <v>0</v>
      </c>
      <c r="D16" t="s">
        <v>872</v>
      </c>
      <c r="E16" t="s">
        <v>1400</v>
      </c>
      <c r="F16" t="s">
        <v>876</v>
      </c>
      <c r="G16" t="str">
        <f t="shared" si="0"/>
        <v>https://wa.me/905425127759?text=%2A%C3%87AY%20OCA%C4%9EI%20KAPLANLI%2010%27LUK%20LPG%2A%20%C3%BCr%C3%BCn%C3%BC%20hakk%C4%B1nda%20bilgi%20almak%20istiyorum.</v>
      </c>
    </row>
    <row r="17" spans="1:7" x14ac:dyDescent="0.25">
      <c r="A17" t="s">
        <v>386</v>
      </c>
      <c r="B17" s="1">
        <v>10900</v>
      </c>
      <c r="C17" t="s">
        <v>0</v>
      </c>
      <c r="D17" t="s">
        <v>872</v>
      </c>
      <c r="E17" t="s">
        <v>1400</v>
      </c>
      <c r="F17" t="s">
        <v>879</v>
      </c>
      <c r="G17" t="str">
        <f t="shared" si="0"/>
        <v>https://wa.me/905425127759?text=%2A%C3%87AY%20OCA%C4%9EI%20KAPLANLI%2020%27L%C4%B0K%20DG%2A%20%C3%BCr%C3%BCn%C3%BC%20hakk%C4%B1nda%20bilgi%20almak%20istiyorum.</v>
      </c>
    </row>
    <row r="18" spans="1:7" x14ac:dyDescent="0.25">
      <c r="A18" t="s">
        <v>387</v>
      </c>
      <c r="B18" s="1">
        <v>10900</v>
      </c>
      <c r="C18" t="s">
        <v>0</v>
      </c>
      <c r="D18" t="s">
        <v>872</v>
      </c>
      <c r="E18" t="s">
        <v>1400</v>
      </c>
      <c r="F18" t="s">
        <v>880</v>
      </c>
      <c r="G18" t="str">
        <f t="shared" si="0"/>
        <v>https://wa.me/905425127759?text=%2A%C3%87AY%20OCA%C4%9EI%20KAPLANLI%2020%27L%C4%B0K%20LPG%2A%20%C3%BCr%C3%BCn%C3%BC%20hakk%C4%B1nda%20bilgi%20almak%20istiyorum.</v>
      </c>
    </row>
    <row r="19" spans="1:7" x14ac:dyDescent="0.25">
      <c r="A19" t="s">
        <v>392</v>
      </c>
      <c r="B19" s="1">
        <v>11200</v>
      </c>
      <c r="C19" t="s">
        <v>0</v>
      </c>
      <c r="D19" t="s">
        <v>872</v>
      </c>
      <c r="E19" t="s">
        <v>1400</v>
      </c>
      <c r="F19" t="s">
        <v>2364</v>
      </c>
      <c r="G19" t="str">
        <f t="shared" si="0"/>
        <v>https://wa.me/905425127759?text=%2A%C3%87AY%20OCA%C4%9EI%20KAPLANLI%2030-40%27LIK%20DG%2A%20%C3%BCr%C3%BCn%C3%BC%20hakk%C4%B1nda%20bilgi%20almak%20istiyorum.</v>
      </c>
    </row>
    <row r="20" spans="1:7" x14ac:dyDescent="0.25">
      <c r="A20" t="s">
        <v>393</v>
      </c>
      <c r="B20" s="1">
        <v>11200</v>
      </c>
      <c r="C20" t="s">
        <v>0</v>
      </c>
      <c r="D20" t="s">
        <v>872</v>
      </c>
      <c r="E20" t="s">
        <v>1400</v>
      </c>
      <c r="F20" t="s">
        <v>2365</v>
      </c>
      <c r="G20" t="str">
        <f t="shared" si="0"/>
        <v>https://wa.me/905425127759?text=%2A%C3%87AY%20OCA%C4%9EI%20KAPLANLI%2030-40%27LIK%20LPG%2A%20%C3%BCr%C3%BCn%C3%BC%20hakk%C4%B1nda%20bilgi%20almak%20istiyorum.</v>
      </c>
    </row>
    <row r="21" spans="1:7" x14ac:dyDescent="0.25">
      <c r="A21" t="s">
        <v>400</v>
      </c>
      <c r="B21" s="1">
        <v>11700</v>
      </c>
      <c r="C21" t="s">
        <v>0</v>
      </c>
      <c r="D21" t="s">
        <v>872</v>
      </c>
      <c r="E21" t="s">
        <v>1400</v>
      </c>
      <c r="F21" t="s">
        <v>890</v>
      </c>
      <c r="G21" t="str">
        <f t="shared" si="0"/>
        <v>https://wa.me/905425127759?text=%2A%C3%87AY%20OCA%C4%9EI%20KAPLANLI%2055%27L%C4%B0K%20DG%2A%20%C3%BCr%C3%BCn%C3%BC%20hakk%C4%B1nda%20bilgi%20almak%20istiyorum.</v>
      </c>
    </row>
    <row r="22" spans="1:7" x14ac:dyDescent="0.25">
      <c r="A22" t="s">
        <v>401</v>
      </c>
      <c r="B22" s="1">
        <v>11700</v>
      </c>
      <c r="C22" t="s">
        <v>0</v>
      </c>
      <c r="D22" t="s">
        <v>872</v>
      </c>
      <c r="E22" t="s">
        <v>1400</v>
      </c>
      <c r="F22" t="s">
        <v>891</v>
      </c>
      <c r="G22" t="str">
        <f t="shared" si="0"/>
        <v>https://wa.me/905425127759?text=%2A%C3%87AY%20OCA%C4%9EI%20KAPLANLI%2055%27L%C4%B0K%20LPG%2A%20%C3%BCr%C3%BCn%C3%BC%20hakk%C4%B1nda%20bilgi%20almak%20istiyorum.</v>
      </c>
    </row>
    <row r="23" spans="1:7" x14ac:dyDescent="0.25">
      <c r="A23" t="s">
        <v>463</v>
      </c>
      <c r="B23" s="1">
        <v>18100</v>
      </c>
      <c r="C23" t="s">
        <v>0</v>
      </c>
      <c r="D23" t="s">
        <v>872</v>
      </c>
      <c r="E23" t="s">
        <v>1400</v>
      </c>
      <c r="F23" t="s">
        <v>901</v>
      </c>
      <c r="G23" t="str">
        <f t="shared" si="0"/>
        <v>https://wa.me/905425127759?text=%2AD%C3%96NER%20OCA%C4%9EI%20KAPLANLI%202%27L%C4%B0%20GAZ%20EMN%C4%B0YETL%C4%B0%2A%20%C3%BCr%C3%BCn%C3%BC%20hakk%C4%B1nda%20bilgi%20almak%20istiyorum.</v>
      </c>
    </row>
    <row r="24" spans="1:7" x14ac:dyDescent="0.25">
      <c r="A24" t="s">
        <v>612</v>
      </c>
      <c r="B24" s="1">
        <v>24900</v>
      </c>
      <c r="C24" t="s">
        <v>0</v>
      </c>
      <c r="D24" t="s">
        <v>872</v>
      </c>
      <c r="E24" t="s">
        <v>1400</v>
      </c>
      <c r="F24" t="s">
        <v>917</v>
      </c>
      <c r="G24" t="str">
        <f t="shared" si="0"/>
        <v>https://wa.me/905425127759?text=%2AD%C3%96NER%20OCA%C4%9EI%20KAPLANLI%203%21L%C3%9C%20GAZ%20EMN%C4%B0YETL%C4%B0%2A%20%C3%BCr%C3%BCn%C3%BC%20hakk%C4%B1nda%20bilgi%20almak%20istiyorum.</v>
      </c>
    </row>
    <row r="25" spans="1:7" x14ac:dyDescent="0.25">
      <c r="A25" t="s">
        <v>464</v>
      </c>
      <c r="B25" s="1">
        <v>19000</v>
      </c>
      <c r="C25" t="s">
        <v>0</v>
      </c>
      <c r="D25" t="s">
        <v>872</v>
      </c>
      <c r="E25" t="s">
        <v>1400</v>
      </c>
      <c r="F25" t="s">
        <v>902</v>
      </c>
      <c r="G25" t="str">
        <f t="shared" si="0"/>
        <v>https://wa.me/905425127759?text=%2AD%C3%96NER%20OCA%C4%9EI%20KAPLANLI%203%27L%C3%9C%20GAZ%20EMN%C4%B0YETS%C4%B0Z%2A%20%C3%BCr%C3%BCn%C3%BC%20hakk%C4%B1nda%20bilgi%20almak%20istiyorum.</v>
      </c>
    </row>
    <row r="26" spans="1:7" x14ac:dyDescent="0.25">
      <c r="A26" t="s">
        <v>465</v>
      </c>
      <c r="B26" s="1">
        <v>30500</v>
      </c>
      <c r="C26" t="s">
        <v>0</v>
      </c>
      <c r="D26" t="s">
        <v>872</v>
      </c>
      <c r="E26" t="s">
        <v>1400</v>
      </c>
      <c r="F26" t="s">
        <v>903</v>
      </c>
      <c r="G26" t="str">
        <f t="shared" si="0"/>
        <v>https://wa.me/905425127759?text=%2AD%C3%96NER%20OCA%C4%9EI%20KAPLANLI%204%27L%C3%9C%20GAZ%20EMN%C4%B0YETL%C4%B0%2A%20%C3%BCr%C3%BCn%C3%BC%20hakk%C4%B1nda%20bilgi%20almak%20istiyorum.</v>
      </c>
    </row>
    <row r="27" spans="1:7" x14ac:dyDescent="0.25">
      <c r="A27" t="s">
        <v>578</v>
      </c>
      <c r="B27" s="1">
        <v>10500</v>
      </c>
      <c r="C27" t="s">
        <v>0</v>
      </c>
      <c r="D27" t="s">
        <v>872</v>
      </c>
      <c r="E27" t="s">
        <v>1400</v>
      </c>
      <c r="F27" t="s">
        <v>911</v>
      </c>
      <c r="G27" t="str">
        <f t="shared" si="0"/>
        <v>https://wa.me/905425127759?text=%2AD%C3%96NER%20OCA%C4%9EI%20TEKL%C4%B0%2A%20%C3%BCr%C3%BCn%C3%BC%20hakk%C4%B1nda%20bilgi%20almak%20istiyorum.</v>
      </c>
    </row>
    <row r="28" spans="1:7" x14ac:dyDescent="0.25">
      <c r="A28" t="s">
        <v>421</v>
      </c>
      <c r="B28" s="1">
        <v>14850</v>
      </c>
      <c r="C28" t="s">
        <v>0</v>
      </c>
      <c r="D28" t="s">
        <v>872</v>
      </c>
      <c r="E28" t="s">
        <v>1400</v>
      </c>
      <c r="F28" t="s">
        <v>896</v>
      </c>
      <c r="G28" t="str">
        <f t="shared" si="0"/>
        <v>https://wa.me/905425127759?text=%2AFR%C4%B0T%C3%96Z%20%C3%87%C4%B0FTL%C4%B0%20ELEKTR%C4%B0KL%C4%B0%203%2B3%20LT%2A%20%C3%BCr%C3%BCn%C3%BC%20hakk%C4%B1nda%20bilgi%20almak%20istiyorum.</v>
      </c>
    </row>
    <row r="29" spans="1:7" x14ac:dyDescent="0.25">
      <c r="A29" t="s">
        <v>422</v>
      </c>
      <c r="B29" s="1">
        <v>18150</v>
      </c>
      <c r="C29" t="s">
        <v>0</v>
      </c>
      <c r="D29" t="s">
        <v>872</v>
      </c>
      <c r="E29" t="s">
        <v>1400</v>
      </c>
      <c r="F29" t="s">
        <v>897</v>
      </c>
      <c r="G29" t="str">
        <f t="shared" si="0"/>
        <v>https://wa.me/905425127759?text=%2AFR%C4%B0T%C3%96Z%20%C3%87%C4%B0FTL%C4%B0%20ELEKTR%C4%B0KL%C4%B0%205%2B5%20LT%2A%20%C3%BCr%C3%BCn%C3%BC%20hakk%C4%B1nda%20bilgi%20almak%20istiyorum.</v>
      </c>
    </row>
    <row r="30" spans="1:7" x14ac:dyDescent="0.25">
      <c r="A30" t="s">
        <v>579</v>
      </c>
      <c r="B30" s="1">
        <v>8000</v>
      </c>
      <c r="C30" t="s">
        <v>0</v>
      </c>
      <c r="D30" t="s">
        <v>872</v>
      </c>
      <c r="E30" t="s">
        <v>1400</v>
      </c>
      <c r="F30" t="s">
        <v>912</v>
      </c>
      <c r="G30" t="str">
        <f t="shared" si="0"/>
        <v>https://wa.me/905425127759?text=%2AFR%C4%B0T%C3%96Z%20TEKL%C4%B0%20ELEKTR%C4%B0KL%C4%B0%203%20LT%2A%20%C3%BCr%C3%BCn%C3%BC%20hakk%C4%B1nda%20bilgi%20almak%20istiyorum.</v>
      </c>
    </row>
    <row r="31" spans="1:7" x14ac:dyDescent="0.25">
      <c r="A31" t="s">
        <v>580</v>
      </c>
      <c r="B31" s="1">
        <v>9600</v>
      </c>
      <c r="C31" t="s">
        <v>0</v>
      </c>
      <c r="D31" t="s">
        <v>872</v>
      </c>
      <c r="E31" t="s">
        <v>1400</v>
      </c>
      <c r="F31" t="s">
        <v>913</v>
      </c>
      <c r="G31" t="str">
        <f t="shared" si="0"/>
        <v>https://wa.me/905425127759?text=%2AFR%C4%B0T%C3%96Z%20TEKL%C4%B0%20ELEKTR%C4%B0KL%C4%B0%205%20LT%2A%20%C3%BCr%C3%BCn%C3%BC%20hakk%C4%B1nda%20bilgi%20almak%20istiyorum.</v>
      </c>
    </row>
    <row r="32" spans="1:7" x14ac:dyDescent="0.25">
      <c r="A32" t="s">
        <v>466</v>
      </c>
      <c r="B32" s="1">
        <v>29500</v>
      </c>
      <c r="C32" t="s">
        <v>0</v>
      </c>
      <c r="D32" t="s">
        <v>872</v>
      </c>
      <c r="E32" t="s">
        <v>1400</v>
      </c>
      <c r="F32" t="s">
        <v>2426</v>
      </c>
      <c r="G32" t="str">
        <f t="shared" si="0"/>
        <v>https://wa.me/905425127759?text=%2AKAPLANLI%2060x70%20YER%20OCA%C4%9EI%20%C3%87%C4%B0FT%20YANI%C5%9ELI%2A%20%C3%BCr%C3%BCn%C3%BC%20hakk%C4%B1nda%20bilgi%20almak%20istiyorum.</v>
      </c>
    </row>
    <row r="33" spans="1:7" x14ac:dyDescent="0.25">
      <c r="A33" t="s">
        <v>582</v>
      </c>
      <c r="B33" s="1">
        <v>6000</v>
      </c>
      <c r="C33" t="s">
        <v>0</v>
      </c>
      <c r="D33" t="s">
        <v>872</v>
      </c>
      <c r="E33" t="s">
        <v>1400</v>
      </c>
      <c r="F33" t="s">
        <v>915</v>
      </c>
      <c r="G33" t="str">
        <f t="shared" si="0"/>
        <v>https://wa.me/905425127759?text=%2AKAPLANLI%20PLEYT%2030CM%20ELKT%20TEKL%C4%B0%20K%C3%96FTE%20OCA%C4%9EI%2A%20%C3%BCr%C3%BCn%C3%BC%20hakk%C4%B1nda%20bilgi%20almak%20istiyorum.</v>
      </c>
    </row>
    <row r="34" spans="1:7" x14ac:dyDescent="0.25">
      <c r="A34" t="s">
        <v>443</v>
      </c>
      <c r="B34" s="1">
        <v>10100</v>
      </c>
      <c r="C34" t="s">
        <v>0</v>
      </c>
      <c r="D34" t="s">
        <v>872</v>
      </c>
      <c r="E34" t="s">
        <v>1400</v>
      </c>
      <c r="F34" t="s">
        <v>2366</v>
      </c>
      <c r="G34" t="str">
        <f t="shared" si="0"/>
        <v>https://wa.me/905425127759?text=%2AKAPLANLI%20PLEYT%20IZGARA%2050CM%20ELEKT.%20HAMBURGER%20K%C3%96FTE%2A%20%C3%BCr%C3%BCn%C3%BC%20hakk%C4%B1nda%20bilgi%20almak%20istiyorum.</v>
      </c>
    </row>
    <row r="35" spans="1:7" x14ac:dyDescent="0.25">
      <c r="A35" t="s">
        <v>581</v>
      </c>
      <c r="B35" s="1">
        <v>13500</v>
      </c>
      <c r="C35" t="s">
        <v>0</v>
      </c>
      <c r="D35" t="s">
        <v>872</v>
      </c>
      <c r="E35" t="s">
        <v>1400</v>
      </c>
      <c r="F35" t="s">
        <v>914</v>
      </c>
      <c r="G35" t="str">
        <f t="shared" si="0"/>
        <v>https://wa.me/905425127759?text=%2AKAPLANLI%20PLEYT%20IZGARA%2050CM%20LPG%20HAMBURGER%20K%C3%96FTE%2A%20%C3%BCr%C3%BCn%C3%BC%20hakk%C4%B1nda%20bilgi%20almak%20istiyorum.</v>
      </c>
    </row>
    <row r="36" spans="1:7" x14ac:dyDescent="0.25">
      <c r="A36" t="s">
        <v>468</v>
      </c>
      <c r="B36" s="1">
        <v>12000</v>
      </c>
      <c r="C36" t="s">
        <v>0</v>
      </c>
      <c r="D36" t="s">
        <v>872</v>
      </c>
      <c r="E36" t="s">
        <v>1400</v>
      </c>
      <c r="F36" t="s">
        <v>905</v>
      </c>
      <c r="G36" t="str">
        <f t="shared" si="0"/>
        <v>https://wa.me/905425127759?text=%2AKAPLANLI%20PLEYT%20IZGARA%2070%20CM%20HAMBURGER%20K%C3%96FTE%2A%20%C3%BCr%C3%BCn%C3%BC%20hakk%C4%B1nda%20bilgi%20almak%20istiyorum.</v>
      </c>
    </row>
    <row r="37" spans="1:7" x14ac:dyDescent="0.25">
      <c r="A37" t="s">
        <v>583</v>
      </c>
      <c r="B37" s="1">
        <v>7500</v>
      </c>
      <c r="C37" t="s">
        <v>0</v>
      </c>
      <c r="D37" t="s">
        <v>872</v>
      </c>
      <c r="E37" t="s">
        <v>1400</v>
      </c>
      <c r="F37" t="s">
        <v>916</v>
      </c>
      <c r="G37" t="str">
        <f t="shared" si="0"/>
        <v>https://wa.me/905425127759?text=%2AKAPLANLI%20TEKL%C4%B0%20K%C3%96FTE%20OCA%C4%9EI%20LPG%2030CM%20P%C4%B0K%20IZGARA%2A%20%C3%BCr%C3%BCn%C3%BC%20hakk%C4%B1nda%20bilgi%20almak%20istiyorum.</v>
      </c>
    </row>
    <row r="38" spans="1:7" x14ac:dyDescent="0.25">
      <c r="A38" t="s">
        <v>384</v>
      </c>
      <c r="B38" s="1">
        <v>5800</v>
      </c>
      <c r="C38" t="s">
        <v>0</v>
      </c>
      <c r="D38" t="s">
        <v>872</v>
      </c>
      <c r="E38" t="s">
        <v>1400</v>
      </c>
      <c r="F38" t="s">
        <v>877</v>
      </c>
      <c r="G38" t="str">
        <f t="shared" si="0"/>
        <v>https://wa.me/905425127759?text=%2AKAZAN%20KAPLANLI%2010%27LUK%20D%C3%9CZ%20ELEKTR%C4%B0KL%C4%B0%2A%20%C3%BCr%C3%BCn%C3%BC%20hakk%C4%B1nda%20bilgi%20almak%20istiyorum.</v>
      </c>
    </row>
    <row r="39" spans="1:7" x14ac:dyDescent="0.25">
      <c r="A39" t="s">
        <v>385</v>
      </c>
      <c r="B39" s="1">
        <v>3540</v>
      </c>
      <c r="C39" t="s">
        <v>0</v>
      </c>
      <c r="D39" t="s">
        <v>872</v>
      </c>
      <c r="E39" t="s">
        <v>1400</v>
      </c>
      <c r="F39" t="s">
        <v>878</v>
      </c>
      <c r="G39" t="str">
        <f t="shared" si="0"/>
        <v>https://wa.me/905425127759?text=%2AKAZAN%20KAPLANLI%2010%27LUK%20TEK%2A%20%C3%BCr%C3%BCn%C3%BC%20hakk%C4%B1nda%20bilgi%20almak%20istiyorum.</v>
      </c>
    </row>
    <row r="40" spans="1:7" x14ac:dyDescent="0.25">
      <c r="A40" t="s">
        <v>388</v>
      </c>
      <c r="B40" s="1">
        <v>6900</v>
      </c>
      <c r="C40" t="s">
        <v>0</v>
      </c>
      <c r="D40" t="s">
        <v>872</v>
      </c>
      <c r="E40" t="s">
        <v>1400</v>
      </c>
      <c r="F40" t="s">
        <v>881</v>
      </c>
      <c r="G40" t="str">
        <f t="shared" si="0"/>
        <v>https://wa.me/905425127759?text=%2AKAZAN%20KAPLANLI%2020%27L%C4%B0K%20D%C3%9CZ%20ELEKTR%C4%B0KL%C4%B0%2A%20%C3%BCr%C3%BCn%C3%BC%20hakk%C4%B1nda%20bilgi%20almak%20istiyorum.</v>
      </c>
    </row>
    <row r="41" spans="1:7" x14ac:dyDescent="0.25">
      <c r="A41" t="s">
        <v>389</v>
      </c>
      <c r="B41" s="1">
        <v>8850</v>
      </c>
      <c r="C41" t="s">
        <v>0</v>
      </c>
      <c r="D41" t="s">
        <v>872</v>
      </c>
      <c r="E41" t="s">
        <v>1400</v>
      </c>
      <c r="F41" t="s">
        <v>882</v>
      </c>
      <c r="G41" t="str">
        <f t="shared" si="0"/>
        <v>https://wa.me/905425127759?text=%2AKAZAN%20KAPLANLI%2020%27L%C4%B0K%20ELEKTR%C4%B0KL%C4%B0%20TAKIM%2A%20%C3%BCr%C3%BCn%C3%BC%20hakk%C4%B1nda%20bilgi%20almak%20istiyorum.</v>
      </c>
    </row>
    <row r="42" spans="1:7" x14ac:dyDescent="0.25">
      <c r="A42" t="s">
        <v>659</v>
      </c>
      <c r="B42" s="1">
        <v>17300</v>
      </c>
      <c r="C42" t="s">
        <v>0</v>
      </c>
      <c r="D42" t="s">
        <v>872</v>
      </c>
      <c r="E42" t="s">
        <v>1400</v>
      </c>
      <c r="F42" t="s">
        <v>918</v>
      </c>
      <c r="G42" t="str">
        <f t="shared" si="0"/>
        <v>https://wa.me/905425127759?text=%2AKAZAN%20KAPLANLI%2020%27L%C4%B0K%20ELEKTR%C4%B0KL%C4%B0%20T%C3%9CPL%C3%9C%2A%20%C3%BCr%C3%BCn%C3%BC%20hakk%C4%B1nda%20bilgi%20almak%20istiyorum.</v>
      </c>
    </row>
    <row r="43" spans="1:7" x14ac:dyDescent="0.25">
      <c r="A43" t="s">
        <v>390</v>
      </c>
      <c r="B43" s="1">
        <v>3900</v>
      </c>
      <c r="C43" t="s">
        <v>0</v>
      </c>
      <c r="D43" t="s">
        <v>872</v>
      </c>
      <c r="E43" t="s">
        <v>1400</v>
      </c>
      <c r="F43" t="s">
        <v>883</v>
      </c>
      <c r="G43" t="str">
        <f t="shared" si="0"/>
        <v>https://wa.me/905425127759?text=%2AKAZAN%20KAPLANLI%2020%27L%C4%B0K%20TEK%2A%20%C3%BCr%C3%BCn%C3%BC%20hakk%C4%B1nda%20bilgi%20almak%20istiyorum.</v>
      </c>
    </row>
    <row r="44" spans="1:7" x14ac:dyDescent="0.25">
      <c r="A44" t="s">
        <v>660</v>
      </c>
      <c r="B44" s="1">
        <v>18500</v>
      </c>
      <c r="C44" t="s">
        <v>0</v>
      </c>
      <c r="D44" t="s">
        <v>872</v>
      </c>
      <c r="E44" t="s">
        <v>1400</v>
      </c>
      <c r="F44" t="s">
        <v>919</v>
      </c>
      <c r="G44" t="str">
        <f t="shared" si="0"/>
        <v>https://wa.me/905425127759?text=%2AKAZAN%20KAPLANLI%2030%27L%C4%B0K%20ELEKTR%C4%B0KL%C4%B0%20T%C3%9CPL%C3%9C%2A%20%C3%BCr%C3%BCn%C3%BC%20hakk%C4%B1nda%20bilgi%20almak%20istiyorum.</v>
      </c>
    </row>
    <row r="45" spans="1:7" x14ac:dyDescent="0.25">
      <c r="A45" t="s">
        <v>394</v>
      </c>
      <c r="B45" s="1">
        <v>8700</v>
      </c>
      <c r="C45" t="s">
        <v>0</v>
      </c>
      <c r="D45" t="s">
        <v>872</v>
      </c>
      <c r="E45" t="s">
        <v>1400</v>
      </c>
      <c r="F45" t="s">
        <v>884</v>
      </c>
      <c r="G45" t="str">
        <f t="shared" si="0"/>
        <v>https://wa.me/905425127759?text=%2AKAZAN%20KAPLANLI%2030%27LUK%20D%C3%9CZ%20ELEKTR%C4%B0KL%C4%B0%2A%20%C3%BCr%C3%BCn%C3%BC%20hakk%C4%B1nda%20bilgi%20almak%20istiyorum.</v>
      </c>
    </row>
    <row r="46" spans="1:7" x14ac:dyDescent="0.25">
      <c r="A46" t="s">
        <v>395</v>
      </c>
      <c r="B46" s="1">
        <v>12350</v>
      </c>
      <c r="C46" t="s">
        <v>0</v>
      </c>
      <c r="D46" t="s">
        <v>872</v>
      </c>
      <c r="E46" t="s">
        <v>1400</v>
      </c>
      <c r="F46" t="s">
        <v>885</v>
      </c>
      <c r="G46" t="str">
        <f t="shared" si="0"/>
        <v>https://wa.me/905425127759?text=%2AKAZAN%20KAPLANLI%2030%27LUK%20ELKTR%C4%B0KL%C4%B0%20TAKIM%2A%20%C3%BCr%C3%BCn%C3%BC%20hakk%C4%B1nda%20bilgi%20almak%20istiyorum.</v>
      </c>
    </row>
    <row r="47" spans="1:7" x14ac:dyDescent="0.25">
      <c r="A47" t="s">
        <v>396</v>
      </c>
      <c r="B47" s="1">
        <v>4400</v>
      </c>
      <c r="C47" t="s">
        <v>0</v>
      </c>
      <c r="D47" t="s">
        <v>872</v>
      </c>
      <c r="E47" t="s">
        <v>1400</v>
      </c>
      <c r="F47" t="s">
        <v>886</v>
      </c>
      <c r="G47" t="str">
        <f t="shared" si="0"/>
        <v>https://wa.me/905425127759?text=%2AKAZAN%20KAPLANLI%2030%27LUK%20TEK%2A%20%C3%BCr%C3%BCn%C3%BC%20hakk%C4%B1nda%20bilgi%20almak%20istiyorum.</v>
      </c>
    </row>
    <row r="48" spans="1:7" x14ac:dyDescent="0.25">
      <c r="A48" t="s">
        <v>397</v>
      </c>
      <c r="B48" s="1">
        <v>9300</v>
      </c>
      <c r="C48" t="s">
        <v>0</v>
      </c>
      <c r="D48" t="s">
        <v>872</v>
      </c>
      <c r="E48" t="s">
        <v>1400</v>
      </c>
      <c r="F48" t="s">
        <v>887</v>
      </c>
      <c r="G48" t="str">
        <f t="shared" si="0"/>
        <v>https://wa.me/905425127759?text=%2AKAZAN%20KAPLANLI%2040%27LIK%20D%C3%9CZ%20ELEKTR%C4%B0KL%C4%B0%2A%20%C3%BCr%C3%BCn%C3%BC%20hakk%C4%B1nda%20bilgi%20almak%20istiyorum.</v>
      </c>
    </row>
    <row r="49" spans="1:7" x14ac:dyDescent="0.25">
      <c r="A49" t="s">
        <v>398</v>
      </c>
      <c r="B49" s="1">
        <v>12750</v>
      </c>
      <c r="C49" t="s">
        <v>0</v>
      </c>
      <c r="D49" t="s">
        <v>872</v>
      </c>
      <c r="E49" t="s">
        <v>1400</v>
      </c>
      <c r="F49" t="s">
        <v>888</v>
      </c>
      <c r="G49" t="str">
        <f t="shared" si="0"/>
        <v>https://wa.me/905425127759?text=%2AKAZAN%20KAPLANLI%2040%27LIK%20ELKTR%C4%B0KL%C4%B0%20TAKIM%2A%20%C3%BCr%C3%BCn%C3%BC%20hakk%C4%B1nda%20bilgi%20almak%20istiyorum.</v>
      </c>
    </row>
    <row r="50" spans="1:7" x14ac:dyDescent="0.25">
      <c r="A50" t="s">
        <v>399</v>
      </c>
      <c r="B50" s="1">
        <v>4700</v>
      </c>
      <c r="C50" t="s">
        <v>0</v>
      </c>
      <c r="D50" t="s">
        <v>872</v>
      </c>
      <c r="E50" t="s">
        <v>1400</v>
      </c>
      <c r="F50" t="s">
        <v>889</v>
      </c>
      <c r="G50" t="str">
        <f t="shared" si="0"/>
        <v>https://wa.me/905425127759?text=%2AKAZAN%20KAPLANLI%2040%27LIK%20TEK%2A%20%C3%BCr%C3%BCn%C3%BC%20hakk%C4%B1nda%20bilgi%20almak%20istiyorum.</v>
      </c>
    </row>
    <row r="51" spans="1:7" x14ac:dyDescent="0.25">
      <c r="A51" t="s">
        <v>661</v>
      </c>
      <c r="B51" s="1">
        <v>18800</v>
      </c>
      <c r="C51" t="s">
        <v>0</v>
      </c>
      <c r="D51" t="s">
        <v>872</v>
      </c>
      <c r="E51" t="s">
        <v>1400</v>
      </c>
      <c r="F51" t="s">
        <v>920</v>
      </c>
      <c r="G51" t="str">
        <f t="shared" si="0"/>
        <v>https://wa.me/905425127759?text=%2AKAZAN%20KAPLANLI%2040%27L%C4%B0K%20ELEKTR%C4%B0KL%C4%B0%20T%C3%9CPL%C3%9C%2A%20%C3%BCr%C3%BCn%C3%BC%20hakk%C4%B1nda%20bilgi%20almak%20istiyorum.</v>
      </c>
    </row>
    <row r="52" spans="1:7" x14ac:dyDescent="0.25">
      <c r="A52" t="s">
        <v>402</v>
      </c>
      <c r="B52" s="1">
        <v>11000</v>
      </c>
      <c r="C52" t="s">
        <v>0</v>
      </c>
      <c r="D52" t="s">
        <v>872</v>
      </c>
      <c r="E52" t="s">
        <v>1400</v>
      </c>
      <c r="F52" t="s">
        <v>892</v>
      </c>
      <c r="G52" t="str">
        <f t="shared" si="0"/>
        <v>https://wa.me/905425127759?text=%2AKAZAN%20KAPLANLI%2055%27L%C4%B0K%20D%C3%9CZ%20ELEKT%C4%B0RKL%C4%B0%2A%20%C3%BCr%C3%BCn%C3%BC%20hakk%C4%B1nda%20bilgi%20almak%20istiyorum.</v>
      </c>
    </row>
    <row r="53" spans="1:7" x14ac:dyDescent="0.25">
      <c r="A53" t="s">
        <v>404</v>
      </c>
      <c r="B53" s="1">
        <v>14280</v>
      </c>
      <c r="C53" t="s">
        <v>0</v>
      </c>
      <c r="D53" t="s">
        <v>872</v>
      </c>
      <c r="E53" t="s">
        <v>1400</v>
      </c>
      <c r="F53" t="s">
        <v>894</v>
      </c>
      <c r="G53" t="str">
        <f t="shared" si="0"/>
        <v>https://wa.me/905425127759?text=%2AKAZAN%20KAPLANLI%2055%27L%C4%B0K%20ELEKTR%C4%B0KL%C4%B0%20TAKIM%20%2A%20%C3%BCr%C3%BCn%C3%BC%20hakk%C4%B1nda%20bilgi%20almak%20istiyorum.</v>
      </c>
    </row>
    <row r="54" spans="1:7" x14ac:dyDescent="0.25">
      <c r="A54" t="s">
        <v>403</v>
      </c>
      <c r="B54" s="1">
        <v>20160</v>
      </c>
      <c r="C54" t="s">
        <v>0</v>
      </c>
      <c r="D54" t="s">
        <v>872</v>
      </c>
      <c r="E54" t="s">
        <v>1400</v>
      </c>
      <c r="F54" t="s">
        <v>893</v>
      </c>
      <c r="G54" t="str">
        <f t="shared" si="0"/>
        <v>https://wa.me/905425127759?text=%2AKAZAN%20KAPLANLI%2055%27L%C4%B0K%20ELEKTR%C4%B0KL%C4%B0%20T%C3%9CPL%C3%9C%2A%20%C3%BCr%C3%BCn%C3%BC%20hakk%C4%B1nda%20bilgi%20almak%20istiyorum.</v>
      </c>
    </row>
    <row r="55" spans="1:7" x14ac:dyDescent="0.25">
      <c r="A55" t="s">
        <v>405</v>
      </c>
      <c r="B55" s="1">
        <v>5300</v>
      </c>
      <c r="C55" t="s">
        <v>0</v>
      </c>
      <c r="D55" t="s">
        <v>872</v>
      </c>
      <c r="E55" t="s">
        <v>1400</v>
      </c>
      <c r="F55" t="s">
        <v>895</v>
      </c>
      <c r="G55" t="str">
        <f t="shared" si="0"/>
        <v>https://wa.me/905425127759?text=%2AKAZAN%20KAPLANLI%2055%27L%C4%B0K%20TEK%2A%20%C3%BCr%C3%BCn%C3%BC%20hakk%C4%B1nda%20bilgi%20almak%20istiyorum.</v>
      </c>
    </row>
    <row r="56" spans="1:7" x14ac:dyDescent="0.25">
      <c r="A56" t="s">
        <v>485</v>
      </c>
      <c r="B56" s="1">
        <v>12000</v>
      </c>
      <c r="C56" t="s">
        <v>0</v>
      </c>
      <c r="D56" t="s">
        <v>872</v>
      </c>
      <c r="E56" t="s">
        <v>1400</v>
      </c>
      <c r="F56" t="s">
        <v>906</v>
      </c>
      <c r="G56" t="str">
        <f t="shared" si="0"/>
        <v>https://wa.me/905425127759?text=%2ALOKANTA%20OCA%C4%9EI%202%27L%C4%B0%20KISA%20AYAK%20LPG%2A%20%C3%BCr%C3%BCn%C3%BC%20hakk%C4%B1nda%20bilgi%20almak%20istiyorum.</v>
      </c>
    </row>
    <row r="57" spans="1:7" x14ac:dyDescent="0.25">
      <c r="A57" t="s">
        <v>486</v>
      </c>
      <c r="B57" s="1">
        <v>13200</v>
      </c>
      <c r="C57" t="s">
        <v>0</v>
      </c>
      <c r="D57" t="s">
        <v>872</v>
      </c>
      <c r="E57" t="s">
        <v>1400</v>
      </c>
      <c r="F57" t="s">
        <v>907</v>
      </c>
      <c r="G57" t="str">
        <f t="shared" si="0"/>
        <v>https://wa.me/905425127759?text=%2ALOKANTA%20OCA%C4%9EI%202%27L%C4%B0%20UZUN%20AYAK%2A%20%C3%BCr%C3%BCn%C3%BC%20hakk%C4%B1nda%20bilgi%20almak%20istiyorum.</v>
      </c>
    </row>
    <row r="58" spans="1:7" x14ac:dyDescent="0.25">
      <c r="A58" t="s">
        <v>709</v>
      </c>
      <c r="B58" s="1">
        <v>14000</v>
      </c>
      <c r="C58" t="s">
        <v>0</v>
      </c>
      <c r="D58" t="s">
        <v>872</v>
      </c>
      <c r="E58" t="s">
        <v>1400</v>
      </c>
      <c r="F58" t="s">
        <v>921</v>
      </c>
      <c r="G58" t="str">
        <f t="shared" si="0"/>
        <v>https://wa.me/905425127759?text=%2ALOKANTA%20OCA%C4%9EI%203%27L%C3%9C%20KISA%20AYAK%20DG%2A%20%C3%BCr%C3%BCn%C3%BC%20hakk%C4%B1nda%20bilgi%20almak%20istiyorum.</v>
      </c>
    </row>
    <row r="59" spans="1:7" x14ac:dyDescent="0.25">
      <c r="A59" t="s">
        <v>487</v>
      </c>
      <c r="B59" s="1">
        <v>14000</v>
      </c>
      <c r="C59" t="s">
        <v>0</v>
      </c>
      <c r="D59" t="s">
        <v>872</v>
      </c>
      <c r="E59" t="s">
        <v>1400</v>
      </c>
      <c r="F59" t="s">
        <v>908</v>
      </c>
      <c r="G59" t="str">
        <f t="shared" si="0"/>
        <v>https://wa.me/905425127759?text=%2ALOKANTA%20OCA%C4%9EI%203%27L%C3%9C%20KISA%20AYAK%20LPG%2A%20%C3%BCr%C3%BCn%C3%BC%20hakk%C4%B1nda%20bilgi%20almak%20istiyorum.</v>
      </c>
    </row>
    <row r="60" spans="1:7" x14ac:dyDescent="0.25">
      <c r="A60" t="s">
        <v>488</v>
      </c>
      <c r="B60" s="1">
        <v>15000</v>
      </c>
      <c r="C60" t="s">
        <v>0</v>
      </c>
      <c r="D60" t="s">
        <v>872</v>
      </c>
      <c r="E60" t="s">
        <v>1400</v>
      </c>
      <c r="F60" t="s">
        <v>909</v>
      </c>
      <c r="G60" t="str">
        <f t="shared" si="0"/>
        <v>https://wa.me/905425127759?text=%2ALOKANTA%20OCA%C4%9EI%203%27L%C3%9C%20UZUN%20AYAK%2A%20%C3%BCr%C3%BCn%C3%BC%20hakk%C4%B1nda%20bilgi%20almak%20istiyorum.</v>
      </c>
    </row>
    <row r="61" spans="1:7" x14ac:dyDescent="0.25">
      <c r="A61" t="s">
        <v>2069</v>
      </c>
      <c r="B61" s="1">
        <v>13000</v>
      </c>
      <c r="C61" t="s">
        <v>0</v>
      </c>
      <c r="D61" t="s">
        <v>872</v>
      </c>
      <c r="E61" t="s">
        <v>1400</v>
      </c>
      <c r="F61" t="s">
        <v>2427</v>
      </c>
      <c r="G61" t="str">
        <f t="shared" si="0"/>
        <v>https://wa.me/905425127759?text=%2ALOKANTA%20OCA%C4%9EI%20%C3%87%C4%B0FT%20YANI%C5%9ELI%2060%2A60%2A%20%C3%BCr%C3%BCn%C3%BC%20hakk%C4%B1nda%20bilgi%20almak%20istiyorum.</v>
      </c>
    </row>
    <row r="62" spans="1:7" x14ac:dyDescent="0.25">
      <c r="A62" t="s">
        <v>673</v>
      </c>
      <c r="B62" s="1">
        <v>24000</v>
      </c>
      <c r="C62" t="s">
        <v>0</v>
      </c>
      <c r="D62" t="s">
        <v>872</v>
      </c>
      <c r="E62" t="s">
        <v>1400</v>
      </c>
      <c r="F62" t="s">
        <v>2428</v>
      </c>
      <c r="G62" t="str">
        <f t="shared" si="0"/>
        <v>https://wa.me/905425127759?text=%2ALOKANTA%20OCA%C4%9EI%20KAPLANLI%202%20L%C4%B0%20GAZ%20EM.%20KISA%20LPG%2A%20%C3%BCr%C3%BCn%C3%BC%20hakk%C4%B1nda%20bilgi%20almak%20istiyorum.</v>
      </c>
    </row>
    <row r="63" spans="1:7" x14ac:dyDescent="0.25">
      <c r="A63" t="s">
        <v>672</v>
      </c>
      <c r="B63" s="1">
        <v>27360</v>
      </c>
      <c r="C63" t="s">
        <v>0</v>
      </c>
      <c r="D63" t="s">
        <v>872</v>
      </c>
      <c r="E63" t="s">
        <v>1400</v>
      </c>
      <c r="F63" t="s">
        <v>2429</v>
      </c>
      <c r="G63" t="str">
        <f t="shared" si="0"/>
        <v>https://wa.me/905425127759?text=%2ALOKANTA%20OCA%C4%9EI%20KAPLANLI%202%20L%C4%B0%20GAZ%20EM.%20UZUN%20LPG%2A%20%C3%BCr%C3%BCn%C3%BC%20hakk%C4%B1nda%20bilgi%20almak%20istiyorum.</v>
      </c>
    </row>
    <row r="64" spans="1:7" x14ac:dyDescent="0.25">
      <c r="A64" t="s">
        <v>674</v>
      </c>
      <c r="B64" s="1">
        <v>39200</v>
      </c>
      <c r="C64" t="s">
        <v>0</v>
      </c>
      <c r="D64" t="s">
        <v>872</v>
      </c>
      <c r="E64" t="s">
        <v>1400</v>
      </c>
      <c r="F64" t="s">
        <v>2367</v>
      </c>
      <c r="G64" t="str">
        <f t="shared" si="0"/>
        <v>https://wa.me/905425127759?text=%2ALOKANTA%20OCA%C4%9EI%20KAPLANLI%203%20L%C3%9C%20KISA%20GAZ%20EM.%20DG%2A%20%C3%BCr%C3%BCn%C3%BC%20hakk%C4%B1nda%20bilgi%20almak%20istiyorum.</v>
      </c>
    </row>
    <row r="65" spans="1:7" x14ac:dyDescent="0.25">
      <c r="A65" t="s">
        <v>710</v>
      </c>
      <c r="B65" s="1">
        <v>34500</v>
      </c>
      <c r="C65" t="s">
        <v>0</v>
      </c>
      <c r="D65" t="s">
        <v>872</v>
      </c>
      <c r="E65" t="s">
        <v>1400</v>
      </c>
      <c r="F65" t="s">
        <v>2368</v>
      </c>
      <c r="G65" t="str">
        <f t="shared" ref="G65:G128" si="1">"https://wa.me/905425127759?text=" &amp; _xlfn.ENCODEURL("*" &amp; A65 &amp; "* ürünü hakkında bilgi almak istiyorum.")</f>
        <v>https://wa.me/905425127759?text=%2ALOKANTA%20OCA%C4%9EI%20KAPLANLI%203%20L%C3%9C%20KISA%20GAZ%20EM.LPG%2A%20%C3%BCr%C3%BCn%C3%BC%20hakk%C4%B1nda%20bilgi%20almak%20istiyorum.</v>
      </c>
    </row>
    <row r="66" spans="1:7" x14ac:dyDescent="0.25">
      <c r="A66" t="s">
        <v>489</v>
      </c>
      <c r="B66" s="1">
        <v>7200</v>
      </c>
      <c r="C66" t="s">
        <v>0</v>
      </c>
      <c r="D66" t="s">
        <v>872</v>
      </c>
      <c r="E66" t="s">
        <v>1400</v>
      </c>
      <c r="F66" t="s">
        <v>910</v>
      </c>
      <c r="G66" t="str">
        <f t="shared" si="1"/>
        <v>https://wa.me/905425127759?text=%2ALOKANTA%20OCA%C4%9EI%20TEKL%C4%B0%20UZUN%20AYAK%2A%20%C3%BCr%C3%BCn%C3%BC%20hakk%C4%B1nda%20bilgi%20almak%20istiyorum.</v>
      </c>
    </row>
    <row r="67" spans="1:7" x14ac:dyDescent="0.25">
      <c r="A67" t="s">
        <v>459</v>
      </c>
      <c r="B67" s="1">
        <v>15000</v>
      </c>
      <c r="C67" t="s">
        <v>0</v>
      </c>
      <c r="D67" t="s">
        <v>872</v>
      </c>
      <c r="E67" t="s">
        <v>1400</v>
      </c>
      <c r="F67" t="s">
        <v>898</v>
      </c>
      <c r="G67" t="str">
        <f t="shared" si="1"/>
        <v>https://wa.me/905425127759?text=%2ATOST%20MAK%C4%B0NES%C4%B0%20KAPLANLI%2012%20D%C4%B0L%C4%B0M%20ELEKTR%C4%B0KL%C4%B0%2A%20%C3%BCr%C3%BCn%C3%BC%20hakk%C4%B1nda%20bilgi%20almak%20istiyorum.</v>
      </c>
    </row>
    <row r="68" spans="1:7" x14ac:dyDescent="0.25">
      <c r="A68" t="s">
        <v>461</v>
      </c>
      <c r="B68" s="1">
        <v>15700</v>
      </c>
      <c r="C68" t="s">
        <v>0</v>
      </c>
      <c r="D68" t="s">
        <v>872</v>
      </c>
      <c r="E68" t="s">
        <v>1400</v>
      </c>
      <c r="F68" t="s">
        <v>899</v>
      </c>
      <c r="G68" t="str">
        <f t="shared" si="1"/>
        <v>https://wa.me/905425127759?text=%2ATOST%20MAK%C4%B0NES%C4%B0%20KAPLANLI%2020%20D%C4%B0L%C4%B0M%20ELEKTR%C4%B0KL%C4%B0%2A%20%C3%BCr%C3%BCn%C3%BC%20hakk%C4%B1nda%20bilgi%20almak%20istiyorum.</v>
      </c>
    </row>
    <row r="69" spans="1:7" x14ac:dyDescent="0.25">
      <c r="A69" t="s">
        <v>462</v>
      </c>
      <c r="B69" s="1">
        <v>26500</v>
      </c>
      <c r="C69" t="s">
        <v>0</v>
      </c>
      <c r="D69" t="s">
        <v>872</v>
      </c>
      <c r="E69" t="s">
        <v>1400</v>
      </c>
      <c r="F69" t="s">
        <v>900</v>
      </c>
      <c r="G69" t="str">
        <f t="shared" si="1"/>
        <v>https://wa.me/905425127759?text=%2ATOST%20MAK%C4%B0NES%C4%B0%20KAPLANLI%2024%20D%C4%B0L%C4%B0M%20ELEKTR%C4%B0KL%C4%B0%2A%20%C3%BCr%C3%BCn%C3%BC%20hakk%C4%B1nda%20bilgi%20almak%20istiyorum.</v>
      </c>
    </row>
    <row r="70" spans="1:7" x14ac:dyDescent="0.25">
      <c r="A70" t="s">
        <v>467</v>
      </c>
      <c r="B70" s="1">
        <v>12500</v>
      </c>
      <c r="C70" t="s">
        <v>0</v>
      </c>
      <c r="D70" t="s">
        <v>872</v>
      </c>
      <c r="E70" t="s">
        <v>1400</v>
      </c>
      <c r="F70" t="s">
        <v>904</v>
      </c>
      <c r="G70" t="str">
        <f t="shared" si="1"/>
        <v>https://wa.me/905425127759?text=%2ATOST%20MAK%C4%B0NES%C4%B0%20KAPLANLI%208%20D%C4%B0L%C4%B0M%20ELEKTR%C4%B0KL%C4%B0%2A%20%C3%BCr%C3%BCn%C3%BC%20hakk%C4%B1nda%20bilgi%20almak%20istiyorum.</v>
      </c>
    </row>
    <row r="71" spans="1:7" x14ac:dyDescent="0.25">
      <c r="A71" t="s">
        <v>13</v>
      </c>
      <c r="B71" s="1">
        <v>1700</v>
      </c>
      <c r="C71" t="s">
        <v>0</v>
      </c>
      <c r="D71" t="s">
        <v>868</v>
      </c>
      <c r="E71" t="s">
        <v>1400</v>
      </c>
      <c r="F71" t="s">
        <v>932</v>
      </c>
      <c r="G71" t="str">
        <f t="shared" si="1"/>
        <v>https://wa.me/905425127759?text=%2AALYANS%202%20L%C4%B0%20OCAK%20DO%C4%9EALGAZ%2A%20%C3%BCr%C3%BCn%C3%BC%20hakk%C4%B1nda%20bilgi%20almak%20istiyorum.</v>
      </c>
    </row>
    <row r="72" spans="1:7" x14ac:dyDescent="0.25">
      <c r="A72" t="s">
        <v>12</v>
      </c>
      <c r="B72" s="1">
        <v>1700</v>
      </c>
      <c r="C72" t="s">
        <v>0</v>
      </c>
      <c r="D72" t="s">
        <v>868</v>
      </c>
      <c r="E72" t="s">
        <v>1400</v>
      </c>
      <c r="F72" t="s">
        <v>931</v>
      </c>
      <c r="G72" t="str">
        <f t="shared" si="1"/>
        <v>https://wa.me/905425127759?text=%2AALYANS%202%20L%C4%B0%20OCAK%20LPG%2A%20%C3%BCr%C3%BCn%C3%BC%20hakk%C4%B1nda%20bilgi%20almak%20istiyorum.</v>
      </c>
    </row>
    <row r="73" spans="1:7" x14ac:dyDescent="0.25">
      <c r="A73" t="s">
        <v>14</v>
      </c>
      <c r="B73" s="1">
        <v>1900</v>
      </c>
      <c r="C73" t="s">
        <v>0</v>
      </c>
      <c r="D73" t="s">
        <v>868</v>
      </c>
      <c r="E73" t="s">
        <v>1400</v>
      </c>
      <c r="F73" t="s">
        <v>933</v>
      </c>
      <c r="G73" t="str">
        <f t="shared" si="1"/>
        <v>https://wa.me/905425127759?text=%2AALYANS%203%20L%C3%9C%20OCAK%20DO%C4%9EALGAZLI%2A%20%C3%BCr%C3%BCn%C3%BC%20hakk%C4%B1nda%20bilgi%20almak%20istiyorum.</v>
      </c>
    </row>
    <row r="74" spans="1:7" x14ac:dyDescent="0.25">
      <c r="A74" t="s">
        <v>15</v>
      </c>
      <c r="B74" s="1">
        <v>1900</v>
      </c>
      <c r="C74" t="s">
        <v>0</v>
      </c>
      <c r="D74" t="s">
        <v>868</v>
      </c>
      <c r="E74" t="s">
        <v>1400</v>
      </c>
      <c r="F74" t="s">
        <v>934</v>
      </c>
      <c r="G74" t="str">
        <f t="shared" si="1"/>
        <v>https://wa.me/905425127759?text=%2AALYANS%203%20L%C3%9C%20OCAK%20LPG%2A%20%C3%BCr%C3%BCn%C3%BC%20hakk%C4%B1nda%20bilgi%20almak%20istiyorum.</v>
      </c>
    </row>
    <row r="75" spans="1:7" x14ac:dyDescent="0.25">
      <c r="A75" t="s">
        <v>16</v>
      </c>
      <c r="B75" s="1">
        <v>0</v>
      </c>
      <c r="C75" t="s">
        <v>0</v>
      </c>
      <c r="D75" t="s">
        <v>868</v>
      </c>
      <c r="E75" t="s">
        <v>1400</v>
      </c>
      <c r="F75" t="s">
        <v>935</v>
      </c>
      <c r="G75" t="str">
        <f t="shared" si="1"/>
        <v>https://wa.me/905425127759?text=%2AALYANS%204%20L%C3%9C%20OCAK%20DO%C4%9EALGAZLI%20BEYAZ%2A%20%C3%BCr%C3%BCn%C3%BC%20hakk%C4%B1nda%20bilgi%20almak%20istiyorum.</v>
      </c>
    </row>
    <row r="76" spans="1:7" x14ac:dyDescent="0.25">
      <c r="A76" t="s">
        <v>17</v>
      </c>
      <c r="B76" s="1">
        <v>0</v>
      </c>
      <c r="C76" t="s">
        <v>0</v>
      </c>
      <c r="D76" t="s">
        <v>868</v>
      </c>
      <c r="E76" t="s">
        <v>1400</v>
      </c>
      <c r="F76" t="s">
        <v>936</v>
      </c>
      <c r="G76" t="str">
        <f t="shared" si="1"/>
        <v>https://wa.me/905425127759?text=%2AALYANS%204%20L%C3%9C%20OCAK%20DO%C4%9EALGAZLI%20S%C4%B0YAH%2A%20%C3%BCr%C3%BCn%C3%BC%20hakk%C4%B1nda%20bilgi%20almak%20istiyorum.</v>
      </c>
    </row>
    <row r="77" spans="1:7" x14ac:dyDescent="0.25">
      <c r="A77" t="s">
        <v>18</v>
      </c>
      <c r="B77" s="1">
        <v>2400</v>
      </c>
      <c r="C77" t="s">
        <v>0</v>
      </c>
      <c r="D77" t="s">
        <v>868</v>
      </c>
      <c r="E77" t="s">
        <v>1400</v>
      </c>
      <c r="F77" t="s">
        <v>937</v>
      </c>
      <c r="G77" t="str">
        <f t="shared" si="1"/>
        <v>https://wa.me/905425127759?text=%2AALYANS%204%20L%C3%9C%20OCAK%20LPG%20BEYAZ%2A%20%C3%BCr%C3%BCn%C3%BC%20hakk%C4%B1nda%20bilgi%20almak%20istiyorum.</v>
      </c>
    </row>
    <row r="78" spans="1:7" x14ac:dyDescent="0.25">
      <c r="A78" t="s">
        <v>19</v>
      </c>
      <c r="B78" s="1">
        <v>2400</v>
      </c>
      <c r="C78" t="s">
        <v>0</v>
      </c>
      <c r="D78" t="s">
        <v>868</v>
      </c>
      <c r="E78" t="s">
        <v>1400</v>
      </c>
      <c r="F78" t="s">
        <v>938</v>
      </c>
      <c r="G78" t="str">
        <f t="shared" si="1"/>
        <v>https://wa.me/905425127759?text=%2AALYANS%204%20L%C3%9C%20OCAK%20LPG%20S%C4%B0YAH%2A%20%C3%BCr%C3%BCn%C3%BC%20hakk%C4%B1nda%20bilgi%20almak%20istiyorum.</v>
      </c>
    </row>
    <row r="79" spans="1:7" x14ac:dyDescent="0.25">
      <c r="A79" t="s">
        <v>20</v>
      </c>
      <c r="B79" s="1">
        <v>800</v>
      </c>
      <c r="C79" t="s">
        <v>0</v>
      </c>
      <c r="D79" t="s">
        <v>868</v>
      </c>
      <c r="E79" t="s">
        <v>1400</v>
      </c>
      <c r="F79" t="s">
        <v>939</v>
      </c>
      <c r="G79" t="str">
        <f t="shared" si="1"/>
        <v>https://wa.me/905425127759?text=%2AALYANS%20TEKL%C4%B0%20OCAK%2A%20%C3%BCr%C3%BCn%C3%BC%20hakk%C4%B1nda%20bilgi%20almak%20istiyorum.</v>
      </c>
    </row>
    <row r="80" spans="1:7" x14ac:dyDescent="0.25">
      <c r="A80" t="s">
        <v>64</v>
      </c>
      <c r="B80" s="1">
        <v>0</v>
      </c>
      <c r="C80" t="s">
        <v>0</v>
      </c>
      <c r="D80" t="s">
        <v>868</v>
      </c>
      <c r="E80" t="s">
        <v>1400</v>
      </c>
      <c r="F80" t="s">
        <v>980</v>
      </c>
      <c r="G80" t="str">
        <f t="shared" si="1"/>
        <v>https://wa.me/905425127759?text=%2AANKASTRE%20SET%20CVS%20S%C4%B0YAH%20CAM%2A%20%C3%BCr%C3%BCn%C3%BC%20hakk%C4%B1nda%20bilgi%20almak%20istiyorum.</v>
      </c>
    </row>
    <row r="81" spans="1:7" x14ac:dyDescent="0.25">
      <c r="A81" t="s">
        <v>94</v>
      </c>
      <c r="B81" s="1">
        <v>40000</v>
      </c>
      <c r="C81" t="s">
        <v>0</v>
      </c>
      <c r="D81" t="s">
        <v>868</v>
      </c>
      <c r="E81" t="s">
        <v>1400</v>
      </c>
      <c r="F81" t="s">
        <v>1007</v>
      </c>
      <c r="G81" t="str">
        <f t="shared" si="1"/>
        <v>https://wa.me/905425127759?text=%2AANKASTRE%20SET%20FERRE%20GRANDE%20S%C4%B0YAH%2A%20%C3%BCr%C3%BCn%C3%BC%20hakk%C4%B1nda%20bilgi%20almak%20istiyorum.</v>
      </c>
    </row>
    <row r="82" spans="1:7" x14ac:dyDescent="0.25">
      <c r="A82" t="s">
        <v>95</v>
      </c>
      <c r="B82" s="1">
        <v>37000</v>
      </c>
      <c r="C82" t="s">
        <v>0</v>
      </c>
      <c r="D82" t="s">
        <v>868</v>
      </c>
      <c r="E82" t="s">
        <v>1400</v>
      </c>
      <c r="F82" t="s">
        <v>1008</v>
      </c>
      <c r="G82" t="str">
        <f t="shared" si="1"/>
        <v>https://wa.me/905425127759?text=%2AANKASTRE%20SET%20FERRE%20HAVA%C4%B0%20S%C4%B0YAH%2A%20%C3%BCr%C3%BCn%C3%BC%20hakk%C4%B1nda%20bilgi%20almak%20istiyorum.</v>
      </c>
    </row>
    <row r="83" spans="1:7" x14ac:dyDescent="0.25">
      <c r="A83" t="s">
        <v>96</v>
      </c>
      <c r="B83" s="1">
        <v>34000</v>
      </c>
      <c r="C83" t="s">
        <v>0</v>
      </c>
      <c r="D83" t="s">
        <v>868</v>
      </c>
      <c r="E83" t="s">
        <v>1400</v>
      </c>
      <c r="F83" t="s">
        <v>1009</v>
      </c>
      <c r="G83" t="str">
        <f t="shared" si="1"/>
        <v>https://wa.me/905425127759?text=%2AANKASTRE%20SET%20FERRE%20L%C4%B0ZBON%20S%C4%B0YAH%2A%20%C3%BCr%C3%BCn%C3%BC%20hakk%C4%B1nda%20bilgi%20almak%20istiyorum.</v>
      </c>
    </row>
    <row r="84" spans="1:7" x14ac:dyDescent="0.25">
      <c r="A84" t="s">
        <v>23</v>
      </c>
      <c r="B84" s="1">
        <v>1900</v>
      </c>
      <c r="C84" t="s">
        <v>0</v>
      </c>
      <c r="D84" t="s">
        <v>868</v>
      </c>
      <c r="E84" t="s">
        <v>1400</v>
      </c>
      <c r="F84" t="s">
        <v>942</v>
      </c>
      <c r="G84" t="str">
        <f t="shared" si="1"/>
        <v>https://wa.me/905425127759?text=%2AARI%203%20L%C3%9C%20OCAK%20LPG%2A%20%C3%BCr%C3%BCn%C3%BC%20hakk%C4%B1nda%20bilgi%20almak%20istiyorum.</v>
      </c>
    </row>
    <row r="85" spans="1:7" x14ac:dyDescent="0.25">
      <c r="A85" t="s">
        <v>25</v>
      </c>
      <c r="B85" s="1">
        <v>6700</v>
      </c>
      <c r="C85" t="s">
        <v>0</v>
      </c>
      <c r="D85" t="s">
        <v>868</v>
      </c>
      <c r="E85" t="s">
        <v>1400</v>
      </c>
      <c r="F85" t="s">
        <v>944</v>
      </c>
      <c r="G85" t="str">
        <f t="shared" si="1"/>
        <v>https://wa.me/905425127759?text=%2AARNEL%204%27L%C3%9C%20FFD%20%C3%87AKMAKLI%20DG%2A%20%C3%BCr%C3%BCn%C3%BC%20hakk%C4%B1nda%20bilgi%20almak%20istiyorum.</v>
      </c>
    </row>
    <row r="86" spans="1:7" x14ac:dyDescent="0.25">
      <c r="A86" t="s">
        <v>26</v>
      </c>
      <c r="B86" s="1">
        <v>6700</v>
      </c>
      <c r="C86" t="s">
        <v>0</v>
      </c>
      <c r="D86" t="s">
        <v>868</v>
      </c>
      <c r="E86" t="s">
        <v>1400</v>
      </c>
      <c r="F86" t="s">
        <v>945</v>
      </c>
      <c r="G86" t="str">
        <f t="shared" si="1"/>
        <v>https://wa.me/905425127759?text=%2AARNEL%204%27L%C3%9C%20FFD%20%C3%87AKMALI%20LPG%2A%20%C3%BCr%C3%BCn%C3%BC%20hakk%C4%B1nda%20bilgi%20almak%20istiyorum.</v>
      </c>
    </row>
    <row r="87" spans="1:7" x14ac:dyDescent="0.25">
      <c r="A87" t="s">
        <v>102</v>
      </c>
      <c r="B87" s="1">
        <v>400</v>
      </c>
      <c r="C87" t="s">
        <v>0</v>
      </c>
      <c r="D87" t="s">
        <v>868</v>
      </c>
      <c r="E87" t="s">
        <v>1400</v>
      </c>
      <c r="F87" t="s">
        <v>1014</v>
      </c>
      <c r="G87" t="str">
        <f t="shared" si="1"/>
        <v>https://wa.me/905425127759?text=%2AASKI%20APARATI%20HOOK%2032%22%2A%20%C3%BCr%C3%BCn%C3%BC%20hakk%C4%B1nda%20bilgi%20almak%20istiyorum.</v>
      </c>
    </row>
    <row r="88" spans="1:7" x14ac:dyDescent="0.25">
      <c r="A88" t="s">
        <v>104</v>
      </c>
      <c r="B88" s="1">
        <v>1100</v>
      </c>
      <c r="C88" t="s">
        <v>0</v>
      </c>
      <c r="D88" t="s">
        <v>868</v>
      </c>
      <c r="E88" t="s">
        <v>1400</v>
      </c>
      <c r="F88" t="s">
        <v>1017</v>
      </c>
      <c r="G88" t="str">
        <f t="shared" si="1"/>
        <v>https://wa.me/905425127759?text=%2AASKI%20APARATI%20HOOK%20KOLLU%2A%20%C3%BCr%C3%BCn%C3%BC%20hakk%C4%B1nda%20bilgi%20almak%20istiyorum.</v>
      </c>
    </row>
    <row r="89" spans="1:7" x14ac:dyDescent="0.25">
      <c r="A89" t="s">
        <v>105</v>
      </c>
      <c r="B89" s="1">
        <v>2300</v>
      </c>
      <c r="C89" t="s">
        <v>0</v>
      </c>
      <c r="D89" t="s">
        <v>868</v>
      </c>
      <c r="E89" t="s">
        <v>1400</v>
      </c>
      <c r="F89" t="s">
        <v>2369</v>
      </c>
      <c r="G89" t="str">
        <f t="shared" si="1"/>
        <v>https://wa.me/905425127759?text=%2AASKI%20APARATI%20HOOK%20TAVAN%2027-37%27%27%2A%20%C3%BCr%C3%BCn%C3%BC%20hakk%C4%B1nda%20bilgi%20almak%20istiyorum.</v>
      </c>
    </row>
    <row r="90" spans="1:7" x14ac:dyDescent="0.25">
      <c r="A90" t="s">
        <v>106</v>
      </c>
      <c r="B90" s="1">
        <v>2500</v>
      </c>
      <c r="C90" t="s">
        <v>0</v>
      </c>
      <c r="D90" t="s">
        <v>868</v>
      </c>
      <c r="E90" t="s">
        <v>1400</v>
      </c>
      <c r="F90" t="s">
        <v>2370</v>
      </c>
      <c r="G90" t="str">
        <f t="shared" si="1"/>
        <v>https://wa.me/905425127759?text=%2AASKI%20APARATI%20HOOK%20TAVAN%2038-50%27%27%2A%20%C3%BCr%C3%BCn%C3%BC%20hakk%C4%B1nda%20bilgi%20almak%20istiyorum.</v>
      </c>
    </row>
    <row r="91" spans="1:7" x14ac:dyDescent="0.25">
      <c r="A91" t="s">
        <v>662</v>
      </c>
      <c r="B91" s="1">
        <v>0</v>
      </c>
      <c r="C91" t="s">
        <v>0</v>
      </c>
      <c r="D91" t="s">
        <v>868</v>
      </c>
      <c r="E91" t="s">
        <v>1400</v>
      </c>
      <c r="F91" t="s">
        <v>1116</v>
      </c>
      <c r="G91" t="str">
        <f t="shared" si="1"/>
        <v>https://wa.me/905425127759?text=%2AASKI%20APARATI%20MERTTU%C4%9E%2042%22%2A%20%C3%BCr%C3%BCn%C3%BC%20hakk%C4%B1nda%20bilgi%20almak%20istiyorum.</v>
      </c>
    </row>
    <row r="92" spans="1:7" x14ac:dyDescent="0.25">
      <c r="A92" t="s">
        <v>177</v>
      </c>
      <c r="B92" s="1">
        <v>500</v>
      </c>
      <c r="C92" t="s">
        <v>0</v>
      </c>
      <c r="D92" t="s">
        <v>868</v>
      </c>
      <c r="E92" t="s">
        <v>1400</v>
      </c>
      <c r="F92" t="s">
        <v>1072</v>
      </c>
      <c r="G92" t="str">
        <f t="shared" si="1"/>
        <v>https://wa.me/905425127759?text=%2AASKI%20APARATI%20SKYTECH%20%2032%27%27%2A%20%C3%BCr%C3%BCn%C3%BC%20hakk%C4%B1nda%20bilgi%20almak%20istiyorum.</v>
      </c>
    </row>
    <row r="93" spans="1:7" x14ac:dyDescent="0.25">
      <c r="A93" t="s">
        <v>219</v>
      </c>
      <c r="B93" s="1">
        <v>1400</v>
      </c>
      <c r="C93" t="s">
        <v>0</v>
      </c>
      <c r="D93" t="s">
        <v>868</v>
      </c>
      <c r="E93" t="s">
        <v>1400</v>
      </c>
      <c r="F93" t="s">
        <v>1088</v>
      </c>
      <c r="G93" t="str">
        <f t="shared" si="1"/>
        <v>https://wa.me/905425127759?text=%2AASKILIK%2A%20%C3%BCr%C3%BCn%C3%BC%20hakk%C4%B1nda%20bilgi%20almak%20istiyorum.</v>
      </c>
    </row>
    <row r="94" spans="1:7" x14ac:dyDescent="0.25">
      <c r="A94" t="s">
        <v>220</v>
      </c>
      <c r="B94" s="1">
        <v>1500</v>
      </c>
      <c r="C94" t="s">
        <v>0</v>
      </c>
      <c r="D94" t="s">
        <v>868</v>
      </c>
      <c r="E94" t="s">
        <v>1400</v>
      </c>
      <c r="F94" t="s">
        <v>1089</v>
      </c>
      <c r="G94" t="str">
        <f t="shared" si="1"/>
        <v>https://wa.me/905425127759?text=%2AASKILIK%20%C3%87%C4%B0FTL%C4%B0%2A%20%C3%BCr%C3%BCn%C3%BC%20hakk%C4%B1nda%20bilgi%20almak%20istiyorum.</v>
      </c>
    </row>
    <row r="95" spans="1:7" x14ac:dyDescent="0.25">
      <c r="A95" t="s">
        <v>126</v>
      </c>
      <c r="B95" s="1">
        <v>3700</v>
      </c>
      <c r="C95" t="s">
        <v>0</v>
      </c>
      <c r="D95" t="s">
        <v>868</v>
      </c>
      <c r="E95" t="s">
        <v>1400</v>
      </c>
      <c r="F95" t="s">
        <v>1035</v>
      </c>
      <c r="G95" t="str">
        <f t="shared" si="1"/>
        <v>https://wa.me/905425127759?text=%2AASP%C4%B0RAT%C3%96R%20MAX%C4%B0MUS%2A%20%C3%BCr%C3%BCn%C3%BC%20hakk%C4%B1nda%20bilgi%20almak%20istiyorum.</v>
      </c>
    </row>
    <row r="96" spans="1:7" x14ac:dyDescent="0.25">
      <c r="A96" t="s">
        <v>128</v>
      </c>
      <c r="B96" s="1">
        <v>3500</v>
      </c>
      <c r="C96" t="s">
        <v>0</v>
      </c>
      <c r="D96" t="s">
        <v>868</v>
      </c>
      <c r="E96" t="s">
        <v>1400</v>
      </c>
      <c r="F96" t="s">
        <v>1036</v>
      </c>
      <c r="G96" t="str">
        <f t="shared" si="1"/>
        <v>https://wa.me/905425127759?text=%2AASP%C4%B0RAT%C3%96R%20M%C4%B0KROL%C4%B0NE%2A%20%C3%BCr%C3%BCn%C3%BC%20hakk%C4%B1nda%20bilgi%20almak%20istiyorum.</v>
      </c>
    </row>
    <row r="97" spans="1:7" x14ac:dyDescent="0.25">
      <c r="A97" t="s">
        <v>787</v>
      </c>
      <c r="B97" s="1">
        <v>4200</v>
      </c>
      <c r="C97" t="s">
        <v>0</v>
      </c>
      <c r="D97" t="s">
        <v>868</v>
      </c>
      <c r="E97" t="s">
        <v>1400</v>
      </c>
      <c r="F97" t="s">
        <v>1128</v>
      </c>
      <c r="G97" t="str">
        <f t="shared" si="1"/>
        <v>https://wa.me/905425127759?text=%2AASP%C4%B0RAT%C3%96R%20M%C4%B0KROL%C4%B0NE%20ESK%C4%B0%20T%C4%B0P%2A%20%C3%BCr%C3%BCn%C3%BC%20hakk%C4%B1nda%20bilgi%20almak%20istiyorum.</v>
      </c>
    </row>
    <row r="98" spans="1:7" x14ac:dyDescent="0.25">
      <c r="A98" t="s">
        <v>60</v>
      </c>
      <c r="B98" s="1">
        <v>2300</v>
      </c>
      <c r="C98" t="s">
        <v>0</v>
      </c>
      <c r="D98" t="s">
        <v>868</v>
      </c>
      <c r="E98" t="s">
        <v>1400</v>
      </c>
      <c r="F98" t="s">
        <v>975</v>
      </c>
      <c r="G98" t="str">
        <f t="shared" si="1"/>
        <v>https://wa.me/905425127759?text=%2ABARBEK%C3%9C%20CVS%20ALEVL%C4%B0%2A%20%C3%BCr%C3%BCn%C3%BC%20hakk%C4%B1nda%20bilgi%20almak%20istiyorum.</v>
      </c>
    </row>
    <row r="99" spans="1:7" x14ac:dyDescent="0.25">
      <c r="A99" t="s">
        <v>646</v>
      </c>
      <c r="B99" s="1">
        <v>1200</v>
      </c>
      <c r="C99" t="s">
        <v>0</v>
      </c>
      <c r="D99" t="s">
        <v>868</v>
      </c>
      <c r="E99" t="s">
        <v>1400</v>
      </c>
      <c r="F99" t="s">
        <v>1106</v>
      </c>
      <c r="G99" t="str">
        <f t="shared" si="1"/>
        <v>https://wa.me/905425127759?text=%2ABASK%C3%9CL%20FAK%C4%B0R%20HERCULES%2A%20%C3%BCr%C3%BCn%C3%BC%20hakk%C4%B1nda%20bilgi%20almak%20istiyorum.</v>
      </c>
    </row>
    <row r="100" spans="1:7" x14ac:dyDescent="0.25">
      <c r="A100" t="s">
        <v>77</v>
      </c>
      <c r="B100" s="1">
        <v>0</v>
      </c>
      <c r="C100" t="s">
        <v>0</v>
      </c>
      <c r="D100" t="s">
        <v>868</v>
      </c>
      <c r="E100" t="s">
        <v>1400</v>
      </c>
      <c r="F100" t="s">
        <v>991</v>
      </c>
      <c r="G100" t="str">
        <f t="shared" si="1"/>
        <v>https://wa.me/905425127759?text=%2ABASK%C3%9CL%20FAK%C4%B0R%20NORA%20CAM%2A%20%C3%BCr%C3%BCn%C3%BC%20hakk%C4%B1nda%20bilgi%20almak%20istiyorum.</v>
      </c>
    </row>
    <row r="101" spans="1:7" x14ac:dyDescent="0.25">
      <c r="A101" t="s">
        <v>645</v>
      </c>
      <c r="B101" s="1">
        <v>1000</v>
      </c>
      <c r="C101" t="s">
        <v>0</v>
      </c>
      <c r="D101" t="s">
        <v>868</v>
      </c>
      <c r="E101" t="s">
        <v>1400</v>
      </c>
      <c r="F101" t="s">
        <v>2430</v>
      </c>
      <c r="G101" t="str">
        <f t="shared" si="1"/>
        <v>https://wa.me/905425127759?text=%2ABASK%C3%9CL%20VOOG%20D%C4%B0G%C4%B0TAL%20%C5%9EARJLI%2A%20%C3%BCr%C3%BCn%C3%BC%20hakk%C4%B1nda%20bilgi%20almak%20istiyorum.</v>
      </c>
    </row>
    <row r="102" spans="1:7" x14ac:dyDescent="0.25">
      <c r="A102" t="s">
        <v>221</v>
      </c>
      <c r="B102" s="1">
        <v>2700</v>
      </c>
      <c r="C102" t="s">
        <v>0</v>
      </c>
      <c r="D102" t="s">
        <v>868</v>
      </c>
      <c r="E102" t="s">
        <v>1400</v>
      </c>
      <c r="F102" t="s">
        <v>2431</v>
      </c>
      <c r="G102" t="str">
        <f t="shared" si="1"/>
        <v>https://wa.me/905425127759?text=%2ABE%C5%9E%C4%B0K%20BAHAR%2A%20%C3%BCr%C3%BCn%C3%BC%20hakk%C4%B1nda%20bilgi%20almak%20istiyorum.</v>
      </c>
    </row>
    <row r="103" spans="1:7" x14ac:dyDescent="0.25">
      <c r="A103" t="s">
        <v>816</v>
      </c>
      <c r="B103" s="1">
        <v>1700</v>
      </c>
      <c r="C103" t="s">
        <v>0</v>
      </c>
      <c r="D103" t="s">
        <v>868</v>
      </c>
      <c r="E103" t="s">
        <v>1400</v>
      </c>
      <c r="F103" t="s">
        <v>1109</v>
      </c>
      <c r="G103" t="str">
        <f t="shared" si="1"/>
        <v>https://wa.me/905425127759?text=%2ABLENDER%20CONT%C4%B0%20%C3%87UBUK%20BLADER%2A%20%C3%BCr%C3%BCn%C3%BC%20hakk%C4%B1nda%20bilgi%20almak%20istiyorum.</v>
      </c>
    </row>
    <row r="104" spans="1:7" x14ac:dyDescent="0.25">
      <c r="A104" t="s">
        <v>83</v>
      </c>
      <c r="B104" s="1">
        <v>3850</v>
      </c>
      <c r="C104" t="s">
        <v>0</v>
      </c>
      <c r="D104" t="s">
        <v>868</v>
      </c>
      <c r="E104" t="s">
        <v>1400</v>
      </c>
      <c r="F104" t="s">
        <v>999</v>
      </c>
      <c r="G104" t="str">
        <f t="shared" si="1"/>
        <v>https://wa.me/905425127759?text=%2ABLENDER%20FAK%C4%B0R%20TR%C4%B0N%C4%B0TY%203%20L%C3%9C%20SET%2A%20%C3%BCr%C3%BCn%C3%BC%20hakk%C4%B1nda%20bilgi%20almak%20istiyorum.</v>
      </c>
    </row>
    <row r="105" spans="1:7" x14ac:dyDescent="0.25">
      <c r="A105" t="s">
        <v>821</v>
      </c>
      <c r="B105" s="1">
        <v>4000</v>
      </c>
      <c r="C105" t="s">
        <v>0</v>
      </c>
      <c r="D105" t="s">
        <v>868</v>
      </c>
      <c r="E105" t="s">
        <v>1400</v>
      </c>
      <c r="F105" t="s">
        <v>2432</v>
      </c>
      <c r="G105" t="str">
        <f t="shared" si="1"/>
        <v>https://wa.me/905425127759?text=%2ABLENDER%20RANGE%20SB-2321%20K%C4%B0%C5%9E%C4%B0SEL%20BLENDER%2A%20%C3%BCr%C3%BCn%C3%BC%20hakk%C4%B1nda%20bilgi%20almak%20istiyorum.</v>
      </c>
    </row>
    <row r="106" spans="1:7" x14ac:dyDescent="0.25">
      <c r="A106" t="s">
        <v>822</v>
      </c>
      <c r="B106" s="1">
        <v>2500</v>
      </c>
      <c r="C106" t="s">
        <v>0</v>
      </c>
      <c r="D106" t="s">
        <v>868</v>
      </c>
      <c r="E106" t="s">
        <v>1400</v>
      </c>
      <c r="F106" t="s">
        <v>1063</v>
      </c>
      <c r="G106" t="str">
        <f t="shared" si="1"/>
        <v>https://wa.me/905425127759?text=%2ABLENDER%20RANGE%20S%C4%B0LV%C4%B0NO%20%C3%87UBUK%20BLENDER%2A%20%C3%BCr%C3%BCn%C3%BC%20hakk%C4%B1nda%20bilgi%20almak%20istiyorum.</v>
      </c>
    </row>
    <row r="107" spans="1:7" x14ac:dyDescent="0.25">
      <c r="A107" t="s">
        <v>28</v>
      </c>
      <c r="B107" s="1">
        <v>0</v>
      </c>
      <c r="C107" t="s">
        <v>0</v>
      </c>
      <c r="D107" t="s">
        <v>868</v>
      </c>
      <c r="E107" t="s">
        <v>1400</v>
      </c>
      <c r="F107" t="s">
        <v>947</v>
      </c>
      <c r="G107" t="str">
        <f t="shared" si="1"/>
        <v>https://wa.me/905425127759?text=%2ABLENDER%20SET%20ARN%C4%B0CA%20D%C4%B0VA%20PRO%2A%20%C3%BCr%C3%BCn%C3%BC%20hakk%C4%B1nda%20bilgi%20almak%20istiyorum.</v>
      </c>
    </row>
    <row r="108" spans="1:7" x14ac:dyDescent="0.25">
      <c r="A108" t="s">
        <v>29</v>
      </c>
      <c r="B108" s="1">
        <v>0</v>
      </c>
      <c r="C108" t="s">
        <v>0</v>
      </c>
      <c r="D108" t="s">
        <v>868</v>
      </c>
      <c r="E108" t="s">
        <v>1400</v>
      </c>
      <c r="F108" t="s">
        <v>948</v>
      </c>
      <c r="G108" t="str">
        <f t="shared" si="1"/>
        <v>https://wa.me/905425127759?text=%2ABLENDER%20SET%20ARN%C4%B0CA%20D%C4%B0VA%20TRENDY%2A%20%C3%BCr%C3%BCn%C3%BC%20hakk%C4%B1nda%20bilgi%20almak%20istiyorum.</v>
      </c>
    </row>
    <row r="109" spans="1:7" x14ac:dyDescent="0.25">
      <c r="A109" t="s">
        <v>63</v>
      </c>
      <c r="B109" s="1">
        <v>3000</v>
      </c>
      <c r="C109" t="s">
        <v>0</v>
      </c>
      <c r="D109" t="s">
        <v>868</v>
      </c>
      <c r="E109" t="s">
        <v>1400</v>
      </c>
      <c r="F109" t="s">
        <v>979</v>
      </c>
      <c r="G109" t="str">
        <f t="shared" si="1"/>
        <v>https://wa.me/905425127759?text=%2ABLENDER%20SET%20CVS%20MONOPLUS%2A%20%C3%BCr%C3%BCn%C3%BC%20hakk%C4%B1nda%20bilgi%20almak%20istiyorum.</v>
      </c>
    </row>
    <row r="110" spans="1:7" x14ac:dyDescent="0.25">
      <c r="A110" t="s">
        <v>810</v>
      </c>
      <c r="B110" s="1">
        <v>6400</v>
      </c>
      <c r="C110" t="s">
        <v>0</v>
      </c>
      <c r="D110" t="s">
        <v>868</v>
      </c>
      <c r="E110" t="s">
        <v>1400</v>
      </c>
      <c r="F110" t="s">
        <v>989</v>
      </c>
      <c r="G110" t="str">
        <f t="shared" si="1"/>
        <v>https://wa.me/905425127759?text=%2ABLENDER%20SET%20FAK%C4%B0R%20MR%20CHEFF%20QUADRO%2A%20%C3%BCr%C3%BCn%C3%BC%20hakk%C4%B1nda%20bilgi%20almak%20istiyorum.</v>
      </c>
    </row>
    <row r="111" spans="1:7" x14ac:dyDescent="0.25">
      <c r="A111" t="s">
        <v>651</v>
      </c>
      <c r="B111" s="1">
        <v>3100</v>
      </c>
      <c r="C111" t="s">
        <v>0</v>
      </c>
      <c r="D111" t="s">
        <v>868</v>
      </c>
      <c r="E111" t="s">
        <v>1400</v>
      </c>
      <c r="F111" t="s">
        <v>1110</v>
      </c>
      <c r="G111" t="str">
        <f t="shared" si="1"/>
        <v>https://wa.me/905425127759?text=%2ABLENDER%20SET%20SAREX%20EL%C4%B0TE%20M%C4%B0X%2A%20%C3%BCr%C3%BCn%C3%BC%20hakk%C4%B1nda%20bilgi%20almak%20istiyorum.</v>
      </c>
    </row>
    <row r="112" spans="1:7" x14ac:dyDescent="0.25">
      <c r="A112" t="s">
        <v>179</v>
      </c>
      <c r="B112" s="1">
        <v>6200</v>
      </c>
      <c r="C112" t="s">
        <v>0</v>
      </c>
      <c r="D112" t="s">
        <v>868</v>
      </c>
      <c r="E112" t="s">
        <v>1400</v>
      </c>
      <c r="F112" t="s">
        <v>1074</v>
      </c>
      <c r="G112" t="str">
        <f t="shared" si="1"/>
        <v>https://wa.me/905425127759?text=%2ABLENDER%20SET%20ST%C4%B0LEVS%20L%C4%B0M%C4%B0TLESS%2A%20%C3%BCr%C3%BCn%C3%BC%20hakk%C4%B1nda%20bilgi%20almak%20istiyorum.</v>
      </c>
    </row>
    <row r="113" spans="1:7" x14ac:dyDescent="0.25">
      <c r="A113" t="s">
        <v>636</v>
      </c>
      <c r="B113" s="1">
        <v>5000</v>
      </c>
      <c r="C113" t="s">
        <v>0</v>
      </c>
      <c r="D113" t="s">
        <v>868</v>
      </c>
      <c r="E113" t="s">
        <v>1400</v>
      </c>
      <c r="F113" t="s">
        <v>1097</v>
      </c>
      <c r="G113" t="str">
        <f t="shared" si="1"/>
        <v>https://wa.me/905425127759?text=%2A%C3%87AY%20MAK%C4%B0NES%C4%B0%20FANTOM%20CY%201500%2A%20%C3%BCr%C3%BCn%C3%BC%20hakk%C4%B1nda%20bilgi%20almak%20istiyorum.</v>
      </c>
    </row>
    <row r="114" spans="1:7" x14ac:dyDescent="0.25">
      <c r="A114" t="s">
        <v>635</v>
      </c>
      <c r="B114" s="1">
        <v>3500</v>
      </c>
      <c r="C114" t="s">
        <v>0</v>
      </c>
      <c r="D114" t="s">
        <v>868</v>
      </c>
      <c r="E114" t="s">
        <v>1400</v>
      </c>
      <c r="F114" t="s">
        <v>1096</v>
      </c>
      <c r="G114" t="str">
        <f t="shared" si="1"/>
        <v>https://wa.me/905425127759?text=%2A%C3%87AY%20MAK%C4%B0NES%C4%B0%20HOOK%20HK509%2A%20%C3%BCr%C3%BCn%C3%BC%20hakk%C4%B1nda%20bilgi%20almak%20istiyorum.</v>
      </c>
    </row>
    <row r="115" spans="1:7" x14ac:dyDescent="0.25">
      <c r="A115" t="s">
        <v>637</v>
      </c>
      <c r="B115" s="1">
        <v>5000</v>
      </c>
      <c r="C115" t="s">
        <v>0</v>
      </c>
      <c r="D115" t="s">
        <v>868</v>
      </c>
      <c r="E115" t="s">
        <v>1400</v>
      </c>
      <c r="F115" t="s">
        <v>1098</v>
      </c>
      <c r="G115" t="str">
        <f t="shared" si="1"/>
        <v>https://wa.me/905425127759?text=%2A%C3%87AY%20MAK%C4%B0NES%C4%B0%20RANGE%20RANGTEA%2A%20%C3%BCr%C3%BCn%C3%BC%20hakk%C4%B1nda%20bilgi%20almak%20istiyorum.</v>
      </c>
    </row>
    <row r="116" spans="1:7" x14ac:dyDescent="0.25">
      <c r="A116" t="s">
        <v>174</v>
      </c>
      <c r="B116" s="1">
        <v>21000</v>
      </c>
      <c r="C116" t="s">
        <v>0</v>
      </c>
      <c r="D116" t="s">
        <v>868</v>
      </c>
      <c r="E116" t="s">
        <v>1400</v>
      </c>
      <c r="F116" t="s">
        <v>1071</v>
      </c>
      <c r="G116" t="str">
        <f t="shared" si="1"/>
        <v>https://wa.me/905425127759?text=%2A%C3%87EY%C4%B0Z%20PAKET%C4%B0%20SEM%20CAKA%2A%20%C3%BCr%C3%BCn%C3%BC%20hakk%C4%B1nda%20bilgi%20almak%20istiyorum.</v>
      </c>
    </row>
    <row r="117" spans="1:7" x14ac:dyDescent="0.25">
      <c r="A117" t="s">
        <v>711</v>
      </c>
      <c r="B117" s="1">
        <v>8000</v>
      </c>
      <c r="C117" t="s">
        <v>0</v>
      </c>
      <c r="D117" t="s">
        <v>868</v>
      </c>
      <c r="E117" t="s">
        <v>1400</v>
      </c>
      <c r="F117" t="s">
        <v>1119</v>
      </c>
      <c r="G117" t="str">
        <f t="shared" si="1"/>
        <v>https://wa.me/905425127759?text=%2ADAVLUMBAZ%20LUXELL%20BEYAZ%20CAM%2A%20%C3%BCr%C3%BCn%C3%BC%20hakk%C4%B1nda%20bilgi%20almak%20istiyorum.</v>
      </c>
    </row>
    <row r="118" spans="1:7" x14ac:dyDescent="0.25">
      <c r="A118" t="s">
        <v>2257</v>
      </c>
      <c r="B118" s="1">
        <v>5500</v>
      </c>
      <c r="C118" t="s">
        <v>0</v>
      </c>
      <c r="D118" t="s">
        <v>868</v>
      </c>
      <c r="E118" t="s">
        <v>1400</v>
      </c>
      <c r="F118" t="s">
        <v>2433</v>
      </c>
      <c r="G118" t="str">
        <f t="shared" si="1"/>
        <v>https://wa.me/905425127759?text=%2ADAVLUMBAZ%20M%C4%B0KROL%C4%B0NE%20BEYAZ%2A%20%C3%BCr%C3%BCn%C3%BC%20hakk%C4%B1nda%20bilgi%20almak%20istiyorum.</v>
      </c>
    </row>
    <row r="119" spans="1:7" x14ac:dyDescent="0.25">
      <c r="A119" t="s">
        <v>435</v>
      </c>
      <c r="B119" s="1">
        <v>1500</v>
      </c>
      <c r="C119" t="s">
        <v>0</v>
      </c>
      <c r="D119" t="s">
        <v>868</v>
      </c>
      <c r="E119" t="s">
        <v>1400</v>
      </c>
      <c r="F119" t="s">
        <v>1092</v>
      </c>
      <c r="G119" t="str">
        <f t="shared" si="1"/>
        <v>https://wa.me/905425127759?text=%2AELEKTR%C4%B0KL%C4%B0%20SA%C3%87%20EMAYE%20KAYSER%C4%B0%2A%20%C3%BCr%C3%BCn%C3%BC%20hakk%C4%B1nda%20bilgi%20almak%20istiyorum.</v>
      </c>
    </row>
    <row r="120" spans="1:7" x14ac:dyDescent="0.25">
      <c r="A120" t="s">
        <v>49</v>
      </c>
      <c r="B120" s="1">
        <v>2700</v>
      </c>
      <c r="C120" t="s">
        <v>0</v>
      </c>
      <c r="D120" t="s">
        <v>868</v>
      </c>
      <c r="E120" t="s">
        <v>1400</v>
      </c>
      <c r="F120" t="s">
        <v>967</v>
      </c>
      <c r="G120" t="str">
        <f t="shared" si="1"/>
        <v>https://wa.me/905425127759?text=%2AEP%C4%B0LAT%C3%96R%20BRAUN%201170%2A%20%C3%BCr%C3%BCn%C3%BC%20hakk%C4%B1nda%20bilgi%20almak%20istiyorum.</v>
      </c>
    </row>
    <row r="121" spans="1:7" x14ac:dyDescent="0.25">
      <c r="A121" t="s">
        <v>50</v>
      </c>
      <c r="B121" s="1">
        <v>3770</v>
      </c>
      <c r="C121" t="s">
        <v>0</v>
      </c>
      <c r="D121" t="s">
        <v>868</v>
      </c>
      <c r="E121" t="s">
        <v>1400</v>
      </c>
      <c r="F121" t="s">
        <v>968</v>
      </c>
      <c r="G121" t="str">
        <f t="shared" si="1"/>
        <v>https://wa.me/905425127759?text=%2AEP%C4%B0LAT%C3%96R%20BRAUN%20S%C4%B0LK%20EP%C4%B0L%203%203170%2A%20%C3%BCr%C3%BCn%C3%BC%20hakk%C4%B1nda%20bilgi%20almak%20istiyorum.</v>
      </c>
    </row>
    <row r="122" spans="1:7" x14ac:dyDescent="0.25">
      <c r="A122" t="s">
        <v>51</v>
      </c>
      <c r="B122" s="1">
        <v>0</v>
      </c>
      <c r="C122" t="s">
        <v>0</v>
      </c>
      <c r="D122" t="s">
        <v>868</v>
      </c>
      <c r="E122" t="s">
        <v>1400</v>
      </c>
      <c r="F122" t="s">
        <v>969</v>
      </c>
      <c r="G122" t="str">
        <f t="shared" si="1"/>
        <v>https://wa.me/905425127759?text=%2AEP%C4%B0LAT%C3%96R%20BRAUN%20S%C4%B0LK%20EP%C4%B0L%203%203420%2A%20%C3%BCr%C3%BCn%C3%BC%20hakk%C4%B1nda%20bilgi%20almak%20istiyorum.</v>
      </c>
    </row>
    <row r="123" spans="1:7" x14ac:dyDescent="0.25">
      <c r="A123" t="s">
        <v>780</v>
      </c>
      <c r="B123" s="1">
        <v>3000</v>
      </c>
      <c r="C123" t="s">
        <v>0</v>
      </c>
      <c r="D123" t="s">
        <v>868</v>
      </c>
      <c r="E123" t="s">
        <v>1400</v>
      </c>
      <c r="F123" t="s">
        <v>1123</v>
      </c>
      <c r="G123" t="str">
        <f t="shared" si="1"/>
        <v>https://wa.me/905425127759?text=%2AEP%C4%B0LAT%C3%96R%20REM%C4%B0NGTON%2A%20%C3%BCr%C3%BCn%C3%BC%20hakk%C4%B1nda%20bilgi%20almak%20istiyorum.</v>
      </c>
    </row>
    <row r="124" spans="1:7" x14ac:dyDescent="0.25">
      <c r="A124" t="s">
        <v>438</v>
      </c>
      <c r="B124" s="1">
        <v>1500</v>
      </c>
      <c r="C124" t="s">
        <v>0</v>
      </c>
      <c r="D124" t="s">
        <v>868</v>
      </c>
      <c r="E124" t="s">
        <v>1400</v>
      </c>
      <c r="F124" t="s">
        <v>1093</v>
      </c>
      <c r="G124" t="str">
        <f t="shared" si="1"/>
        <v>https://wa.me/905425127759?text=%2AERENDEM%C4%B0R%20GRAN%C4%B0T%20TAVA%2A%20%C3%BCr%C3%BCn%C3%BC%20hakk%C4%B1nda%20bilgi%20almak%20istiyorum.</v>
      </c>
    </row>
    <row r="125" spans="1:7" x14ac:dyDescent="0.25">
      <c r="A125" t="s">
        <v>68</v>
      </c>
      <c r="B125" s="1">
        <v>2500</v>
      </c>
      <c r="C125" t="s">
        <v>0</v>
      </c>
      <c r="D125" t="s">
        <v>868</v>
      </c>
      <c r="E125" t="s">
        <v>1400</v>
      </c>
      <c r="F125" t="s">
        <v>985</v>
      </c>
      <c r="G125" t="str">
        <f t="shared" si="1"/>
        <v>https://wa.me/905425127759?text=%2AEUROL%C4%B0NE%204%20L%C3%9C%20OCAK%2A%20%C3%BCr%C3%BCn%C3%BC%20hakk%C4%B1nda%20bilgi%20almak%20istiyorum.</v>
      </c>
    </row>
    <row r="126" spans="1:7" x14ac:dyDescent="0.25">
      <c r="A126" t="s">
        <v>444</v>
      </c>
      <c r="B126" s="1">
        <v>1900</v>
      </c>
      <c r="C126" t="s">
        <v>0</v>
      </c>
      <c r="D126" t="s">
        <v>868</v>
      </c>
      <c r="E126" t="s">
        <v>1400</v>
      </c>
      <c r="F126" t="s">
        <v>1094</v>
      </c>
      <c r="G126" t="str">
        <f t="shared" si="1"/>
        <v>https://wa.me/905425127759?text=%2AFANLI%20ISITICI%20HOOK%2A%20%C3%BCr%C3%BCn%C3%BC%20hakk%C4%B1nda%20bilgi%20almak%20istiyorum.</v>
      </c>
    </row>
    <row r="127" spans="1:7" x14ac:dyDescent="0.25">
      <c r="A127" t="s">
        <v>90</v>
      </c>
      <c r="B127" s="1">
        <v>1700</v>
      </c>
      <c r="C127" t="s">
        <v>0</v>
      </c>
      <c r="D127" t="s">
        <v>868</v>
      </c>
      <c r="E127" t="s">
        <v>1400</v>
      </c>
      <c r="F127" t="s">
        <v>2434</v>
      </c>
      <c r="G127" t="str">
        <f t="shared" si="1"/>
        <v>https://wa.me/905425127759?text=%2AFEMA%C5%9E%202%20L%C4%B0%20LPG%20OCAK%20%2A%20%C3%BCr%C3%BCn%C3%BC%20hakk%C4%B1nda%20bilgi%20almak%20istiyorum.</v>
      </c>
    </row>
    <row r="128" spans="1:7" x14ac:dyDescent="0.25">
      <c r="A128" t="s">
        <v>91</v>
      </c>
      <c r="B128" s="1">
        <v>1900</v>
      </c>
      <c r="C128" t="s">
        <v>0</v>
      </c>
      <c r="D128" t="s">
        <v>868</v>
      </c>
      <c r="E128" t="s">
        <v>1400</v>
      </c>
      <c r="F128" t="s">
        <v>2371</v>
      </c>
      <c r="G128" t="str">
        <f t="shared" si="1"/>
        <v>https://wa.me/905425127759?text=%2AFEMA%C5%9E%203%20L%C3%9C%20LPG%20OCAK%20%2A%20%C3%BCr%C3%BCn%C3%BC%20hakk%C4%B1nda%20bilgi%20almak%20istiyorum.</v>
      </c>
    </row>
    <row r="129" spans="1:7" x14ac:dyDescent="0.25">
      <c r="A129" t="s">
        <v>92</v>
      </c>
      <c r="B129" s="1">
        <v>2600</v>
      </c>
      <c r="C129" t="s">
        <v>0</v>
      </c>
      <c r="D129" t="s">
        <v>868</v>
      </c>
      <c r="E129" t="s">
        <v>1400</v>
      </c>
      <c r="F129" t="s">
        <v>2372</v>
      </c>
      <c r="G129" t="str">
        <f t="shared" ref="G129:G192" si="2">"https://wa.me/905425127759?text=" &amp; _xlfn.ENCODEURL("*" &amp; A129 &amp; "* ürünü hakkında bilgi almak istiyorum.")</f>
        <v>https://wa.me/905425127759?text=%2AFEMA%C5%9E%204%20L%C3%9C%20LPG%20OCAK%2A%20%C3%BCr%C3%BCn%C3%BC%20hakk%C4%B1nda%20bilgi%20almak%20istiyorum.</v>
      </c>
    </row>
    <row r="130" spans="1:7" x14ac:dyDescent="0.25">
      <c r="A130" t="s">
        <v>93</v>
      </c>
      <c r="B130" s="1">
        <v>3500</v>
      </c>
      <c r="C130" t="s">
        <v>0</v>
      </c>
      <c r="D130" t="s">
        <v>868</v>
      </c>
      <c r="E130" t="s">
        <v>1400</v>
      </c>
      <c r="F130" t="s">
        <v>1006</v>
      </c>
      <c r="G130" t="str">
        <f t="shared" si="2"/>
        <v>https://wa.me/905425127759?text=%2AFERRE%204%20L%C3%9C%20SET%20%C3%9CST%C3%9C%20OCAK%20LPG%2A%20%C3%BCr%C3%BCn%C3%BC%20hakk%C4%B1nda%20bilgi%20almak%20istiyorum.</v>
      </c>
    </row>
    <row r="131" spans="1:7" x14ac:dyDescent="0.25">
      <c r="A131" t="s">
        <v>2196</v>
      </c>
      <c r="B131" s="1">
        <v>3500</v>
      </c>
      <c r="C131" t="s">
        <v>0</v>
      </c>
      <c r="D131" t="s">
        <v>868</v>
      </c>
      <c r="E131" t="s">
        <v>1400</v>
      </c>
      <c r="F131" t="s">
        <v>2373</v>
      </c>
      <c r="G131" t="str">
        <f t="shared" si="2"/>
        <v>https://wa.me/905425127759?text=%2AFIRIN%20AKEL%20AF007-AF010%20YUVARLAK%2A%20%C3%BCr%C3%BCn%C3%BC%20hakk%C4%B1nda%20bilgi%20almak%20istiyorum.</v>
      </c>
    </row>
    <row r="132" spans="1:7" x14ac:dyDescent="0.25">
      <c r="A132" t="s">
        <v>1</v>
      </c>
      <c r="B132" s="1">
        <v>4000</v>
      </c>
      <c r="C132" t="s">
        <v>0</v>
      </c>
      <c r="D132" t="s">
        <v>868</v>
      </c>
      <c r="E132" t="s">
        <v>1400</v>
      </c>
      <c r="F132" t="s">
        <v>922</v>
      </c>
      <c r="G132" t="str">
        <f t="shared" si="2"/>
        <v>https://wa.me/905425127759?text=%2AFIRIN%20AKEL%20AF007B%20YUVARLAK%20B%C3%9CY%C3%9CK%2A%20%C3%BCr%C3%BCn%C3%BC%20hakk%C4%B1nda%20bilgi%20almak%20istiyorum.</v>
      </c>
    </row>
    <row r="133" spans="1:7" x14ac:dyDescent="0.25">
      <c r="A133" t="s">
        <v>2</v>
      </c>
      <c r="B133" s="1">
        <v>3500</v>
      </c>
      <c r="C133" t="s">
        <v>0</v>
      </c>
      <c r="D133" t="s">
        <v>868</v>
      </c>
      <c r="E133" t="s">
        <v>1400</v>
      </c>
      <c r="F133" t="s">
        <v>923</v>
      </c>
      <c r="G133" t="str">
        <f t="shared" si="2"/>
        <v>https://wa.me/905425127759?text=%2AFIRIN%20AKEL%20AF010%20YUVARLAK%2A%20%C3%BCr%C3%BCn%C3%BC%20hakk%C4%B1nda%20bilgi%20almak%20istiyorum.</v>
      </c>
    </row>
    <row r="134" spans="1:7" x14ac:dyDescent="0.25">
      <c r="A134" t="s">
        <v>3</v>
      </c>
      <c r="B134" s="1">
        <v>4000</v>
      </c>
      <c r="C134" t="s">
        <v>0</v>
      </c>
      <c r="D134" t="s">
        <v>868</v>
      </c>
      <c r="E134" t="s">
        <v>1400</v>
      </c>
      <c r="F134" t="s">
        <v>924</v>
      </c>
      <c r="G134" t="str">
        <f t="shared" si="2"/>
        <v>https://wa.me/905425127759?text=%2AFIRIN%20AKEL%20AF140%20D%C3%96NERL%C4%B0%2A%20%C3%BCr%C3%BCn%C3%BC%20hakk%C4%B1nda%20bilgi%20almak%20istiyorum.</v>
      </c>
    </row>
    <row r="135" spans="1:7" x14ac:dyDescent="0.25">
      <c r="A135" t="s">
        <v>65</v>
      </c>
      <c r="B135" s="1">
        <v>3400</v>
      </c>
      <c r="C135" t="s">
        <v>0</v>
      </c>
      <c r="D135" t="s">
        <v>868</v>
      </c>
      <c r="E135" t="s">
        <v>1400</v>
      </c>
      <c r="F135" t="s">
        <v>981</v>
      </c>
      <c r="G135" t="str">
        <f t="shared" si="2"/>
        <v>https://wa.me/905425127759?text=%2AFIRIN%20CVS%20TOPRAK%20YUVARLAK%2A%20%C3%BCr%C3%BCn%C3%BC%20hakk%C4%B1nda%20bilgi%20almak%20istiyorum.</v>
      </c>
    </row>
    <row r="136" spans="1:7" x14ac:dyDescent="0.25">
      <c r="A136" t="s">
        <v>655</v>
      </c>
      <c r="B136" s="1">
        <v>4000</v>
      </c>
      <c r="C136" t="s">
        <v>0</v>
      </c>
      <c r="D136" t="s">
        <v>868</v>
      </c>
      <c r="E136" t="s">
        <v>1400</v>
      </c>
      <c r="F136" t="s">
        <v>2435</v>
      </c>
      <c r="G136" t="str">
        <f t="shared" si="2"/>
        <v>https://wa.me/905425127759?text=%2AFIRIN%20ERENDEM%C4%B0R%20YUVARLAK%20GF-1001%2A%20%C3%BCr%C3%BCn%C3%BC%20hakk%C4%B1nda%20bilgi%20almak%20istiyorum.</v>
      </c>
    </row>
    <row r="137" spans="1:7" x14ac:dyDescent="0.25">
      <c r="A137" t="s">
        <v>133</v>
      </c>
      <c r="B137" s="1">
        <v>0</v>
      </c>
      <c r="C137" t="s">
        <v>0</v>
      </c>
      <c r="D137" t="s">
        <v>868</v>
      </c>
      <c r="E137" t="s">
        <v>1400</v>
      </c>
      <c r="F137" t="s">
        <v>2436</v>
      </c>
      <c r="G137" t="str">
        <f t="shared" si="2"/>
        <v>https://wa.me/905425127759?text=%2AFIRIN%20M%C4%B0N%C4%B0SAN%202002%2045%20LT%20K%C3%96%C5%9EEL%C4%B0%2A%20%C3%BCr%C3%BCn%C3%BC%20hakk%C4%B1nda%20bilgi%20almak%20istiyorum.</v>
      </c>
    </row>
    <row r="138" spans="1:7" x14ac:dyDescent="0.25">
      <c r="A138" t="s">
        <v>656</v>
      </c>
      <c r="B138" s="1">
        <v>4500</v>
      </c>
      <c r="C138" t="s">
        <v>0</v>
      </c>
      <c r="D138" t="s">
        <v>868</v>
      </c>
      <c r="E138" t="s">
        <v>1400</v>
      </c>
      <c r="F138" t="s">
        <v>2437</v>
      </c>
      <c r="G138" t="str">
        <f t="shared" si="2"/>
        <v>https://wa.me/905425127759?text=%2AFIRIN%20M%C4%B0N%C4%B0SAN%20AY%C5%9EEG%C3%9CL%20DAVUL%2A%20%C3%BCr%C3%BCn%C3%BC%20hakk%C4%B1nda%20bilgi%20almak%20istiyorum.</v>
      </c>
    </row>
    <row r="139" spans="1:7" x14ac:dyDescent="0.25">
      <c r="A139" t="s">
        <v>654</v>
      </c>
      <c r="B139" s="1">
        <v>4000</v>
      </c>
      <c r="C139" t="s">
        <v>0</v>
      </c>
      <c r="D139" t="s">
        <v>868</v>
      </c>
      <c r="E139" t="s">
        <v>1400</v>
      </c>
      <c r="F139" t="s">
        <v>1113</v>
      </c>
      <c r="G139" t="str">
        <f t="shared" si="2"/>
        <v>https://wa.me/905425127759?text=%2AFIRIN%20M%C4%B0N%C4%B0SAN%20M%C4%B0D%C4%B0%2040%20LT%2A%20%C3%BCr%C3%BCn%C3%BC%20hakk%C4%B1nda%20bilgi%20almak%20istiyorum.</v>
      </c>
    </row>
    <row r="140" spans="1:7" x14ac:dyDescent="0.25">
      <c r="A140" t="s">
        <v>176</v>
      </c>
      <c r="B140" s="1">
        <v>7900</v>
      </c>
      <c r="C140" t="s">
        <v>0</v>
      </c>
      <c r="D140" t="s">
        <v>868</v>
      </c>
      <c r="E140" t="s">
        <v>1400</v>
      </c>
      <c r="F140" t="s">
        <v>2438</v>
      </c>
      <c r="G140" t="str">
        <f t="shared" si="2"/>
        <v>https://wa.me/905425127759?text=%2AFIRIN%20S%C4%B0MFER%204502%20K%C3%96%C5%9EEL%C4%B0%2A%20%C3%BCr%C3%BCn%C3%BC%20hakk%C4%B1nda%20bilgi%20almak%20istiyorum.</v>
      </c>
    </row>
    <row r="141" spans="1:7" x14ac:dyDescent="0.25">
      <c r="A141" t="s">
        <v>189</v>
      </c>
      <c r="B141" s="1">
        <v>5000</v>
      </c>
      <c r="C141" t="s">
        <v>0</v>
      </c>
      <c r="D141" t="s">
        <v>868</v>
      </c>
      <c r="E141" t="s">
        <v>1400</v>
      </c>
      <c r="F141" t="s">
        <v>2374</v>
      </c>
      <c r="G141" t="str">
        <f t="shared" si="2"/>
        <v>https://wa.me/905425127759?text=%2AFIRIN%20%C5%9EAMDAN%201007%20B%C3%9CY%C3%9CK%20TERMOSTATLI%20CAMLI%20YUVARLAK%2A%20%C3%BCr%C3%BCn%C3%BC%20hakk%C4%B1nda%20bilgi%20almak%20istiyorum.</v>
      </c>
    </row>
    <row r="142" spans="1:7" x14ac:dyDescent="0.25">
      <c r="A142" t="s">
        <v>190</v>
      </c>
      <c r="B142" s="1">
        <v>5700</v>
      </c>
      <c r="C142" t="s">
        <v>0</v>
      </c>
      <c r="D142" t="s">
        <v>868</v>
      </c>
      <c r="E142" t="s">
        <v>1400</v>
      </c>
      <c r="F142" t="s">
        <v>2439</v>
      </c>
      <c r="G142" t="str">
        <f t="shared" si="2"/>
        <v>https://wa.me/905425127759?text=%2AFIRIN%20%C5%9EAMDAN%202003%20K%C3%96%C5%9EEL%C4%B0%2A%20%C3%BCr%C3%BCn%C3%BC%20hakk%C4%B1nda%20bilgi%20almak%20istiyorum.</v>
      </c>
    </row>
    <row r="143" spans="1:7" x14ac:dyDescent="0.25">
      <c r="A143" t="s">
        <v>191</v>
      </c>
      <c r="B143" s="1">
        <v>6500</v>
      </c>
      <c r="C143" t="s">
        <v>0</v>
      </c>
      <c r="D143" t="s">
        <v>868</v>
      </c>
      <c r="E143" t="s">
        <v>1400</v>
      </c>
      <c r="F143" t="s">
        <v>2440</v>
      </c>
      <c r="G143" t="str">
        <f t="shared" si="2"/>
        <v>https://wa.me/905425127759?text=%2AFIRIN%20%C5%9EAMDAN%202005%20K%C3%96%C5%9EEL%C4%B0%20TURBOLU%2A%20%C3%BCr%C3%BCn%C3%BC%20hakk%C4%B1nda%20bilgi%20almak%20istiyorum.</v>
      </c>
    </row>
    <row r="144" spans="1:7" x14ac:dyDescent="0.25">
      <c r="A144" t="s">
        <v>192</v>
      </c>
      <c r="B144" s="1">
        <v>8700</v>
      </c>
      <c r="C144" t="s">
        <v>0</v>
      </c>
      <c r="D144" t="s">
        <v>868</v>
      </c>
      <c r="E144" t="s">
        <v>1400</v>
      </c>
      <c r="F144" t="s">
        <v>2441</v>
      </c>
      <c r="G144" t="str">
        <f t="shared" si="2"/>
        <v>https://wa.me/905425127759?text=%2AFIRIN%20%C5%9EAMDAN%202023%2070%20LT%20K%C3%96%C5%9EEL%C4%B0%2A%20%C3%BCr%C3%BCn%C3%BC%20hakk%C4%B1nda%20bilgi%20almak%20istiyorum.</v>
      </c>
    </row>
    <row r="145" spans="1:7" x14ac:dyDescent="0.25">
      <c r="A145" t="s">
        <v>193</v>
      </c>
      <c r="B145" s="1">
        <v>7700</v>
      </c>
      <c r="C145" t="s">
        <v>0</v>
      </c>
      <c r="D145" t="s">
        <v>868</v>
      </c>
      <c r="E145" t="s">
        <v>1400</v>
      </c>
      <c r="F145" t="s">
        <v>2442</v>
      </c>
      <c r="G145" t="str">
        <f t="shared" si="2"/>
        <v>https://wa.me/905425127759?text=%2AFIRIN%20%C5%9EAMDAN%202033%20%28%C3%87%C4%B0FT%20CAMLI%29%2060%20LT%20K%C3%96%C5%9EEL%C4%B0%2A%20%C3%BCr%C3%BCn%C3%BC%20hakk%C4%B1nda%20bilgi%20almak%20istiyorum.</v>
      </c>
    </row>
    <row r="146" spans="1:7" x14ac:dyDescent="0.25">
      <c r="A146" t="s">
        <v>202</v>
      </c>
      <c r="B146" s="1">
        <v>5700</v>
      </c>
      <c r="C146" t="s">
        <v>0</v>
      </c>
      <c r="D146" t="s">
        <v>868</v>
      </c>
      <c r="E146" t="s">
        <v>1400</v>
      </c>
      <c r="F146" t="s">
        <v>2443</v>
      </c>
      <c r="G146" t="str">
        <f t="shared" si="2"/>
        <v>https://wa.me/905425127759?text=%2AFIRIN%20%C5%9EAMDAN%20B%C3%9CY%C3%9CK%20D%C3%96NERL%C4%B0%201000T%2A%20%C3%BCr%C3%BCn%C3%BC%20hakk%C4%B1nda%20bilgi%20almak%20istiyorum.</v>
      </c>
    </row>
    <row r="147" spans="1:7" x14ac:dyDescent="0.25">
      <c r="A147" t="s">
        <v>203</v>
      </c>
      <c r="B147" s="1">
        <v>5000</v>
      </c>
      <c r="C147" t="s">
        <v>0</v>
      </c>
      <c r="D147" t="s">
        <v>868</v>
      </c>
      <c r="E147" t="s">
        <v>1400</v>
      </c>
      <c r="F147" t="s">
        <v>2444</v>
      </c>
      <c r="G147" t="str">
        <f t="shared" si="2"/>
        <v>https://wa.me/905425127759?text=%2AFIRIN%20%C5%9EAMDAN%20D%C3%96NERL%C4%B0%201003%2A%20%C3%BCr%C3%BCn%C3%BC%20hakk%C4%B1nda%20bilgi%20almak%20istiyorum.</v>
      </c>
    </row>
    <row r="148" spans="1:7" x14ac:dyDescent="0.25">
      <c r="A148" t="s">
        <v>204</v>
      </c>
      <c r="B148" s="1">
        <v>4500</v>
      </c>
      <c r="C148" t="s">
        <v>0</v>
      </c>
      <c r="D148" t="s">
        <v>868</v>
      </c>
      <c r="E148" t="s">
        <v>1400</v>
      </c>
      <c r="F148" t="s">
        <v>2375</v>
      </c>
      <c r="G148" t="str">
        <f t="shared" si="2"/>
        <v>https://wa.me/905425127759?text=%2AFIRIN%20%C5%9EAMDAN%20TERMOSTATLI%201005%20YUVARLAK%2A%20%C3%BCr%C3%BCn%C3%BC%20hakk%C4%B1nda%20bilgi%20almak%20istiyorum.</v>
      </c>
    </row>
    <row r="149" spans="1:7" x14ac:dyDescent="0.25">
      <c r="A149" t="s">
        <v>211</v>
      </c>
      <c r="B149" s="1">
        <v>4400</v>
      </c>
      <c r="C149" t="s">
        <v>0</v>
      </c>
      <c r="D149" t="s">
        <v>868</v>
      </c>
      <c r="E149" t="s">
        <v>1400</v>
      </c>
      <c r="F149" t="s">
        <v>1082</v>
      </c>
      <c r="G149" t="str">
        <f t="shared" si="2"/>
        <v>https://wa.me/905425127759?text=%2AFIRIN%20U%C4%9EUR%20B%C3%9CY%C3%9CK%20BOY%20YUVARLAK%20TERMOSTATLI%2A%20%C3%BCr%C3%BCn%C3%BC%20hakk%C4%B1nda%20bilgi%20almak%20istiyorum.</v>
      </c>
    </row>
    <row r="150" spans="1:7" x14ac:dyDescent="0.25">
      <c r="A150" t="s">
        <v>214</v>
      </c>
      <c r="B150" s="1">
        <v>3800</v>
      </c>
      <c r="C150" t="s">
        <v>0</v>
      </c>
      <c r="D150" t="s">
        <v>868</v>
      </c>
      <c r="E150" t="s">
        <v>1400</v>
      </c>
      <c r="F150" t="s">
        <v>1085</v>
      </c>
      <c r="G150" t="str">
        <f t="shared" si="2"/>
        <v>https://wa.me/905425127759?text=%2AFIRIN%20U%C4%9EUR%20YUVARLAK%20TERMOSTATLI%2A%20%C3%BCr%C3%BCn%C3%BC%20hakk%C4%B1nda%20bilgi%20almak%20istiyorum.</v>
      </c>
    </row>
    <row r="151" spans="1:7" x14ac:dyDescent="0.25">
      <c r="A151" t="s">
        <v>784</v>
      </c>
      <c r="B151" s="1">
        <v>4000</v>
      </c>
      <c r="C151" t="s">
        <v>0</v>
      </c>
      <c r="D151" t="s">
        <v>868</v>
      </c>
      <c r="E151" t="s">
        <v>1400</v>
      </c>
      <c r="F151" t="s">
        <v>1126</v>
      </c>
      <c r="G151" t="str">
        <f t="shared" si="2"/>
        <v>https://wa.me/905425127759?text=%2AF%C4%B0LTRE%20KAHVE%20MAK%C4%B0NES%C4%B0%20GOLDMASTER%20Z%C4%B0NDE%2A%20%C3%BCr%C3%BCn%C3%BC%20hakk%C4%B1nda%20bilgi%20almak%20istiyorum.</v>
      </c>
    </row>
    <row r="152" spans="1:7" x14ac:dyDescent="0.25">
      <c r="A152" t="s">
        <v>638</v>
      </c>
      <c r="B152" s="1">
        <v>2000</v>
      </c>
      <c r="C152" t="s">
        <v>0</v>
      </c>
      <c r="D152" t="s">
        <v>868</v>
      </c>
      <c r="E152" t="s">
        <v>1400</v>
      </c>
      <c r="F152" t="s">
        <v>1099</v>
      </c>
      <c r="G152" t="str">
        <f t="shared" si="2"/>
        <v>https://wa.me/905425127759?text=%2AF%C4%B0LTRE%20KAHVE%20MAK%C4%B0NES%C4%B0%20SUNNY%20MORN%C4%B0NG%2A%20%C3%BCr%C3%BCn%C3%BC%20hakk%C4%B1nda%20bilgi%20almak%20istiyorum.</v>
      </c>
    </row>
    <row r="153" spans="1:7" x14ac:dyDescent="0.25">
      <c r="A153" t="s">
        <v>162</v>
      </c>
      <c r="B153" s="1">
        <v>0</v>
      </c>
      <c r="C153" t="s">
        <v>0</v>
      </c>
      <c r="D153" t="s">
        <v>868</v>
      </c>
      <c r="E153" t="s">
        <v>1400</v>
      </c>
      <c r="F153" t="s">
        <v>1057</v>
      </c>
      <c r="G153" t="str">
        <f t="shared" si="2"/>
        <v>https://wa.me/905425127759?text=%2AF%C3%96N%20MAK%C4%B0NES%C4%B0%20POWERTECH%2A%20%C3%BCr%C3%BCn%C3%BC%20hakk%C4%B1nda%20bilgi%20almak%20istiyorum.</v>
      </c>
    </row>
    <row r="154" spans="1:7" x14ac:dyDescent="0.25">
      <c r="A154" t="s">
        <v>75</v>
      </c>
      <c r="B154" s="1">
        <v>0</v>
      </c>
      <c r="C154" t="s">
        <v>0</v>
      </c>
      <c r="D154" t="s">
        <v>868</v>
      </c>
      <c r="E154" t="s">
        <v>1400</v>
      </c>
      <c r="F154" t="s">
        <v>2445</v>
      </c>
      <c r="G154" t="str">
        <f t="shared" si="2"/>
        <v>https://wa.me/905425127759?text=%2AHAMUR%20KARMA%20FAK%C4%B0R%20M%C4%B0XCHEF%20MUTFAK%20%C5%9EEF%C4%B0%2A%20%C3%BCr%C3%BCn%C3%BC%20hakk%C4%B1nda%20bilgi%20almak%20istiyorum.</v>
      </c>
    </row>
    <row r="155" spans="1:7" x14ac:dyDescent="0.25">
      <c r="A155" t="s">
        <v>62</v>
      </c>
      <c r="B155" s="1">
        <v>2400</v>
      </c>
      <c r="C155" t="s">
        <v>0</v>
      </c>
      <c r="D155" t="s">
        <v>868</v>
      </c>
      <c r="E155" t="s">
        <v>1400</v>
      </c>
      <c r="F155" t="s">
        <v>978</v>
      </c>
      <c r="G155" t="str">
        <f t="shared" si="2"/>
        <v>https://wa.me/905425127759?text=%2AIZGARA%20CVS%20KEBAP%C3%87I%20ELEKTR%C4%B0KL%C4%B0%2A%20%C3%BCr%C3%BCn%C3%BC%20hakk%C4%B1nda%20bilgi%20almak%20istiyorum.</v>
      </c>
    </row>
    <row r="156" spans="1:7" x14ac:dyDescent="0.25">
      <c r="A156" t="s">
        <v>2158</v>
      </c>
      <c r="B156" s="1">
        <v>3000</v>
      </c>
      <c r="C156" t="s">
        <v>0</v>
      </c>
      <c r="D156" t="s">
        <v>868</v>
      </c>
      <c r="E156" t="s">
        <v>1400</v>
      </c>
      <c r="F156" t="s">
        <v>2446</v>
      </c>
      <c r="G156" t="str">
        <f t="shared" si="2"/>
        <v>https://wa.me/905425127759?text=%2AIZGARA%20U%C4%9EUR%20ELEKTR%C4%B0KL%C4%B0%2A%20%C3%BCr%C3%BCn%C3%BC%20hakk%C4%B1nda%20bilgi%20almak%20istiyorum.</v>
      </c>
    </row>
    <row r="157" spans="1:7" x14ac:dyDescent="0.25">
      <c r="A157" t="s">
        <v>31</v>
      </c>
      <c r="B157" s="1">
        <v>5300</v>
      </c>
      <c r="C157" t="s">
        <v>0</v>
      </c>
      <c r="D157" t="s">
        <v>868</v>
      </c>
      <c r="E157" t="s">
        <v>1400</v>
      </c>
      <c r="F157" t="s">
        <v>950</v>
      </c>
      <c r="G157" t="str">
        <f t="shared" si="2"/>
        <v>https://wa.me/905425127759?text=%2AKAHVE%20MAK%C4%B0NES%C4%B0%20ARN%C4%B0CA%20K%C3%96P%C3%9CKL%C3%9C%20OTOMAT%C4%B0K%2A%20%C3%BCr%C3%BCn%C3%BC%20hakk%C4%B1nda%20bilgi%20almak%20istiyorum.</v>
      </c>
    </row>
    <row r="158" spans="1:7" x14ac:dyDescent="0.25">
      <c r="A158" t="s">
        <v>819</v>
      </c>
      <c r="B158" s="1">
        <v>2400</v>
      </c>
      <c r="C158" t="s">
        <v>0</v>
      </c>
      <c r="D158" t="s">
        <v>868</v>
      </c>
      <c r="E158" t="s">
        <v>1400</v>
      </c>
      <c r="F158" t="s">
        <v>977</v>
      </c>
      <c r="G158" t="str">
        <f t="shared" si="2"/>
        <v>https://wa.me/905425127759?text=%2AKAHVE%20MAK%C4%B0NES%C4%B0%20CVS%20HARMON%C4%B0%20DN19820%2A%20%C3%BCr%C3%BCn%C3%BC%20hakk%C4%B1nda%20bilgi%20almak%20istiyorum.</v>
      </c>
    </row>
    <row r="159" spans="1:7" x14ac:dyDescent="0.25">
      <c r="A159" t="s">
        <v>820</v>
      </c>
      <c r="B159" s="1">
        <v>0</v>
      </c>
      <c r="C159" t="s">
        <v>0</v>
      </c>
      <c r="D159" t="s">
        <v>868</v>
      </c>
      <c r="E159" t="s">
        <v>1400</v>
      </c>
      <c r="F159" t="s">
        <v>988</v>
      </c>
      <c r="G159" t="str">
        <f t="shared" si="2"/>
        <v>https://wa.me/905425127759?text=%2AKAHVE%20MAK%C4%B0NES%C4%B0%20FAK%C4%B0R%20KAAVE%20PLUS%2A%20%C3%BCr%C3%BCn%C3%BC%20hakk%C4%B1nda%20bilgi%20almak%20istiyorum.</v>
      </c>
    </row>
    <row r="160" spans="1:7" x14ac:dyDescent="0.25">
      <c r="A160" t="s">
        <v>818</v>
      </c>
      <c r="B160" s="1">
        <v>1200</v>
      </c>
      <c r="C160" t="s">
        <v>0</v>
      </c>
      <c r="D160" t="s">
        <v>868</v>
      </c>
      <c r="E160" t="s">
        <v>1400</v>
      </c>
      <c r="F160" t="s">
        <v>1066</v>
      </c>
      <c r="G160" t="str">
        <f t="shared" si="2"/>
        <v>https://wa.me/905425127759?text=%2AKAHVE%20MAK%C4%B0NES%C4%B0%20SAREX%20KAVRUK%20%C3%87EL%C4%B0K%20CEZVE%2A%20%C3%BCr%C3%BCn%C3%BC%20hakk%C4%B1nda%20bilgi%20almak%20istiyorum.</v>
      </c>
    </row>
    <row r="161" spans="1:7" x14ac:dyDescent="0.25">
      <c r="A161" t="s">
        <v>122</v>
      </c>
      <c r="B161" s="1">
        <v>3400</v>
      </c>
      <c r="C161" t="s">
        <v>0</v>
      </c>
      <c r="D161" t="s">
        <v>868</v>
      </c>
      <c r="E161" t="s">
        <v>1400</v>
      </c>
      <c r="F161" t="s">
        <v>1033</v>
      </c>
      <c r="G161" t="str">
        <f t="shared" si="2"/>
        <v>https://wa.me/905425127759?text=%2AKATMER%20SACI%20LAV%C4%B0CCO%2A%20%C3%BCr%C3%BCn%C3%BC%20hakk%C4%B1nda%20bilgi%20almak%20istiyorum.</v>
      </c>
    </row>
    <row r="162" spans="1:7" x14ac:dyDescent="0.25">
      <c r="A162" t="s">
        <v>653</v>
      </c>
      <c r="B162" s="1">
        <v>0</v>
      </c>
      <c r="C162" t="s">
        <v>0</v>
      </c>
      <c r="D162" t="s">
        <v>868</v>
      </c>
      <c r="E162" t="s">
        <v>1400</v>
      </c>
      <c r="F162" t="s">
        <v>1112</v>
      </c>
      <c r="G162" t="str">
        <f t="shared" si="2"/>
        <v>https://wa.me/905425127759?text=%2AKATMER%20SACI%20OPT%C4%B0MUM%20TERMOSTATLI%2A%20%C3%BCr%C3%BCn%C3%BC%20hakk%C4%B1nda%20bilgi%20almak%20istiyorum.</v>
      </c>
    </row>
    <row r="163" spans="1:7" x14ac:dyDescent="0.25">
      <c r="A163" t="s">
        <v>212</v>
      </c>
      <c r="B163" s="1">
        <v>3400</v>
      </c>
      <c r="C163" t="s">
        <v>0</v>
      </c>
      <c r="D163" t="s">
        <v>868</v>
      </c>
      <c r="E163" t="s">
        <v>1400</v>
      </c>
      <c r="F163" t="s">
        <v>1083</v>
      </c>
      <c r="G163" t="str">
        <f t="shared" si="2"/>
        <v>https://wa.me/905425127759?text=%2AKATMER%20SACI%20U%C4%9EUR%2A%20%C3%BCr%C3%BCn%C3%BC%20hakk%C4%B1nda%20bilgi%20almak%20istiyorum.</v>
      </c>
    </row>
    <row r="164" spans="1:7" x14ac:dyDescent="0.25">
      <c r="A164" t="s">
        <v>213</v>
      </c>
      <c r="B164" s="1">
        <v>3800</v>
      </c>
      <c r="C164" t="s">
        <v>0</v>
      </c>
      <c r="D164" t="s">
        <v>868</v>
      </c>
      <c r="E164" t="s">
        <v>1400</v>
      </c>
      <c r="F164" t="s">
        <v>1084</v>
      </c>
      <c r="G164" t="str">
        <f t="shared" si="2"/>
        <v>https://wa.me/905425127759?text=%2AKATMER%20SACI%20U%C4%9EUR%20B%C3%9CY%C3%9CK%2A%20%C3%BCr%C3%BCn%C3%BC%20hakk%C4%B1nda%20bilgi%20almak%20istiyorum.</v>
      </c>
    </row>
    <row r="165" spans="1:7" x14ac:dyDescent="0.25">
      <c r="A165" t="s">
        <v>633</v>
      </c>
      <c r="B165" s="1">
        <v>900</v>
      </c>
      <c r="C165" t="s">
        <v>0</v>
      </c>
      <c r="D165" t="s">
        <v>868</v>
      </c>
      <c r="E165" t="s">
        <v>1400</v>
      </c>
      <c r="F165" t="s">
        <v>2376</v>
      </c>
      <c r="G165" t="str">
        <f t="shared" si="2"/>
        <v>https://wa.me/905425127759?text=%2AKETTLE%20CONTI%20METALLICA%20CK-248%2A%20%C3%BCr%C3%BCn%C3%BC%20hakk%C4%B1nda%20bilgi%20almak%20istiyorum.</v>
      </c>
    </row>
    <row r="166" spans="1:7" x14ac:dyDescent="0.25">
      <c r="A166" t="s">
        <v>632</v>
      </c>
      <c r="B166" s="1">
        <v>1000</v>
      </c>
      <c r="C166" t="s">
        <v>0</v>
      </c>
      <c r="D166" t="s">
        <v>868</v>
      </c>
      <c r="E166" t="s">
        <v>1400</v>
      </c>
      <c r="F166" t="s">
        <v>2447</v>
      </c>
      <c r="G166" t="str">
        <f t="shared" si="2"/>
        <v>https://wa.me/905425127759?text=%2AKETTLE%20CONT%C4%B0%20AQUA%20%20RED%20CK-238%2A%20%C3%BCr%C3%BCn%C3%BC%20hakk%C4%B1nda%20bilgi%20almak%20istiyorum.</v>
      </c>
    </row>
    <row r="167" spans="1:7" x14ac:dyDescent="0.25">
      <c r="A167" t="s">
        <v>634</v>
      </c>
      <c r="B167" s="1">
        <v>900</v>
      </c>
      <c r="C167" t="s">
        <v>0</v>
      </c>
      <c r="D167" t="s">
        <v>868</v>
      </c>
      <c r="E167" t="s">
        <v>1400</v>
      </c>
      <c r="F167" t="s">
        <v>2448</v>
      </c>
      <c r="G167" t="str">
        <f t="shared" si="2"/>
        <v>https://wa.me/905425127759?text=%2AKETTLE%20CONT%C4%B0%20AQUA%20COLOR%20CK-238%2A%20%C3%BCr%C3%BCn%C3%BC%20hakk%C4%B1nda%20bilgi%20almak%20istiyorum.</v>
      </c>
    </row>
    <row r="168" spans="1:7" x14ac:dyDescent="0.25">
      <c r="A168" t="s">
        <v>52</v>
      </c>
      <c r="B168" s="1">
        <v>1000</v>
      </c>
      <c r="C168" t="s">
        <v>0</v>
      </c>
      <c r="D168" t="s">
        <v>868</v>
      </c>
      <c r="E168" t="s">
        <v>1400</v>
      </c>
      <c r="F168" t="s">
        <v>970</v>
      </c>
      <c r="G168" t="str">
        <f t="shared" si="2"/>
        <v>https://wa.me/905425127759?text=%2AKETTLE%20CONT%C4%B0%20AQUA%20%C3%87EL%C4%B0K%2A%20%C3%BCr%C3%BCn%C3%BC%20hakk%C4%B1nda%20bilgi%20almak%20istiyorum.</v>
      </c>
    </row>
    <row r="169" spans="1:7" x14ac:dyDescent="0.25">
      <c r="A169" t="s">
        <v>631</v>
      </c>
      <c r="B169" s="1">
        <v>1200</v>
      </c>
      <c r="C169" t="s">
        <v>0</v>
      </c>
      <c r="D169" t="s">
        <v>868</v>
      </c>
      <c r="E169" t="s">
        <v>1400</v>
      </c>
      <c r="F169" t="s">
        <v>2449</v>
      </c>
      <c r="G169" t="str">
        <f t="shared" si="2"/>
        <v>https://wa.me/905425127759?text=%2AKETTLE%20CONT%C4%B0%20CRYSTAL%20CK-305%2A%20%C3%BCr%C3%BCn%C3%BC%20hakk%C4%B1nda%20bilgi%20almak%20istiyorum.</v>
      </c>
    </row>
    <row r="170" spans="1:7" x14ac:dyDescent="0.25">
      <c r="A170" t="s">
        <v>53</v>
      </c>
      <c r="B170" s="1">
        <v>1200</v>
      </c>
      <c r="C170" t="s">
        <v>0</v>
      </c>
      <c r="D170" t="s">
        <v>868</v>
      </c>
      <c r="E170" t="s">
        <v>1400</v>
      </c>
      <c r="F170" t="s">
        <v>971</v>
      </c>
      <c r="G170" t="str">
        <f t="shared" si="2"/>
        <v>https://wa.me/905425127759?text=%2AKETTLE%20CONT%C4%B0%20%C3%87EL%C4%B0K%20KETTLE%20AQUA%20RED%2A%20%C3%BCr%C3%BCn%C3%BC%20hakk%C4%B1nda%20bilgi%20almak%20istiyorum.</v>
      </c>
    </row>
    <row r="171" spans="1:7" x14ac:dyDescent="0.25">
      <c r="A171" t="s">
        <v>54</v>
      </c>
      <c r="B171" s="1">
        <v>1400</v>
      </c>
      <c r="C171" t="s">
        <v>0</v>
      </c>
      <c r="D171" t="s">
        <v>868</v>
      </c>
      <c r="E171" t="s">
        <v>1400</v>
      </c>
      <c r="F171" t="s">
        <v>972</v>
      </c>
      <c r="G171" t="str">
        <f t="shared" si="2"/>
        <v>https://wa.me/905425127759?text=%2AKETTLE%20CONT%C4%B0%20KR%C4%B0STAL%20%C3%87EL%C4%B0K%20KETTLE%2A%20%C3%BCr%C3%BCn%C3%BC%20hakk%C4%B1nda%20bilgi%20almak%20istiyorum.</v>
      </c>
    </row>
    <row r="172" spans="1:7" x14ac:dyDescent="0.25">
      <c r="A172" t="s">
        <v>107</v>
      </c>
      <c r="B172" s="1">
        <v>900</v>
      </c>
      <c r="C172" t="s">
        <v>0</v>
      </c>
      <c r="D172" t="s">
        <v>868</v>
      </c>
      <c r="E172" t="s">
        <v>1400</v>
      </c>
      <c r="F172" t="s">
        <v>1018</v>
      </c>
      <c r="G172" t="str">
        <f t="shared" si="2"/>
        <v>https://wa.me/905425127759?text=%2AKETTLE%20HOOK%20TROYA%2A%20%C3%BCr%C3%BCn%C3%BC%20hakk%C4%B1nda%20bilgi%20almak%20istiyorum.</v>
      </c>
    </row>
    <row r="173" spans="1:7" x14ac:dyDescent="0.25">
      <c r="A173" t="s">
        <v>231</v>
      </c>
      <c r="B173" s="1">
        <v>1500</v>
      </c>
      <c r="C173" t="s">
        <v>0</v>
      </c>
      <c r="D173" t="s">
        <v>868</v>
      </c>
      <c r="E173" t="s">
        <v>1400</v>
      </c>
      <c r="F173" t="s">
        <v>1090</v>
      </c>
      <c r="G173" t="str">
        <f t="shared" si="2"/>
        <v>https://wa.me/905425127759?text=%2AKURUTMALIK%20MERCAN%2A%20%C3%BCr%C3%BCn%C3%BC%20hakk%C4%B1nda%20bilgi%20almak%20istiyorum.</v>
      </c>
    </row>
    <row r="174" spans="1:7" x14ac:dyDescent="0.25">
      <c r="A174" t="s">
        <v>121</v>
      </c>
      <c r="B174" s="1">
        <v>3000</v>
      </c>
      <c r="C174" t="s">
        <v>0</v>
      </c>
      <c r="D174" t="s">
        <v>868</v>
      </c>
      <c r="E174" t="s">
        <v>1400</v>
      </c>
      <c r="F174" t="s">
        <v>1032</v>
      </c>
      <c r="G174" t="str">
        <f t="shared" si="2"/>
        <v>https://wa.me/905425127759?text=%2ALAV%C4%B0CCO%202%20%27L%C4%B0%20EMN%C4%B0YETL%C4%B0%20OCAK%20%2A%20%C3%BCr%C3%BCn%C3%BC%20hakk%C4%B1nda%20bilgi%20almak%20istiyorum.</v>
      </c>
    </row>
    <row r="175" spans="1:7" x14ac:dyDescent="0.25">
      <c r="A175" t="s">
        <v>30</v>
      </c>
      <c r="B175" s="1">
        <v>12000</v>
      </c>
      <c r="C175" t="s">
        <v>0</v>
      </c>
      <c r="D175" t="s">
        <v>868</v>
      </c>
      <c r="E175" t="s">
        <v>1400</v>
      </c>
      <c r="F175" t="s">
        <v>949</v>
      </c>
      <c r="G175" t="str">
        <f t="shared" si="2"/>
        <v>https://wa.me/905425127759?text=%2AMEYVE%20SIKACA%C4%9EI%20ARN%C4%B0CA%20EKOV%C4%B0TA%20PLUS%20KATI%2A%20%C3%BCr%C3%BCn%C3%BC%20hakk%C4%B1nda%20bilgi%20almak%20istiyorum.</v>
      </c>
    </row>
    <row r="176" spans="1:7" x14ac:dyDescent="0.25">
      <c r="A176" t="s">
        <v>21</v>
      </c>
      <c r="B176" s="1">
        <v>13400</v>
      </c>
      <c r="C176" t="s">
        <v>0</v>
      </c>
      <c r="D176" t="s">
        <v>868</v>
      </c>
      <c r="E176" t="s">
        <v>1400</v>
      </c>
      <c r="F176" t="s">
        <v>940</v>
      </c>
      <c r="G176" t="str">
        <f t="shared" si="2"/>
        <v>https://wa.me/905425127759?text=%2AM%C4%B0KRODALGA%20FIRIN%20AR%C3%87EL%C4%B0K%20GR%C4%B0%2A%20%C3%BCr%C3%BCn%C3%BC%20hakk%C4%B1nda%20bilgi%20almak%20istiyorum.</v>
      </c>
    </row>
    <row r="177" spans="1:7" x14ac:dyDescent="0.25">
      <c r="A177" t="s">
        <v>22</v>
      </c>
      <c r="B177" s="1">
        <v>13400</v>
      </c>
      <c r="C177" t="s">
        <v>0</v>
      </c>
      <c r="D177" t="s">
        <v>868</v>
      </c>
      <c r="E177" t="s">
        <v>1400</v>
      </c>
      <c r="F177" t="s">
        <v>941</v>
      </c>
      <c r="G177" t="str">
        <f t="shared" si="2"/>
        <v>https://wa.me/905425127759?text=%2AM%C4%B0KRODALGA%20FIRIN%20AR%C3%87EL%C4%B0K%20S%C4%B0YAH%2A%20%C3%BCr%C3%BCn%C3%BC%20hakk%C4%B1nda%20bilgi%20almak%20istiyorum.</v>
      </c>
    </row>
    <row r="178" spans="1:7" x14ac:dyDescent="0.25">
      <c r="A178" t="s">
        <v>66</v>
      </c>
      <c r="B178" s="1">
        <v>7000</v>
      </c>
      <c r="C178" t="s">
        <v>0</v>
      </c>
      <c r="D178" t="s">
        <v>868</v>
      </c>
      <c r="E178" t="s">
        <v>1400</v>
      </c>
      <c r="F178" t="s">
        <v>983</v>
      </c>
      <c r="G178" t="str">
        <f t="shared" si="2"/>
        <v>https://wa.me/905425127759?text=%2AM%C4%B0KRODALGA%20FIRIN%20D%C4%B0J%C4%B0TSU%20MD10%20BEYAZ%2A%20%C3%BCr%C3%BCn%C3%BC%20hakk%C4%B1nda%20bilgi%20almak%20istiyorum.</v>
      </c>
    </row>
    <row r="179" spans="1:7" x14ac:dyDescent="0.25">
      <c r="A179" t="s">
        <v>67</v>
      </c>
      <c r="B179" s="1">
        <v>7000</v>
      </c>
      <c r="C179" t="s">
        <v>0</v>
      </c>
      <c r="D179" t="s">
        <v>868</v>
      </c>
      <c r="E179" t="s">
        <v>1400</v>
      </c>
      <c r="F179" t="s">
        <v>984</v>
      </c>
      <c r="G179" t="str">
        <f t="shared" si="2"/>
        <v>https://wa.me/905425127759?text=%2AM%C4%B0KRODALGA%20FIRIN%20D%C4%B0J%C4%B0TSU%20MD25%20S%C4%B0YAH%2A%20%C3%BCr%C3%BCn%C3%BC%20hakk%C4%B1nda%20bilgi%20almak%20istiyorum.</v>
      </c>
    </row>
    <row r="180" spans="1:7" x14ac:dyDescent="0.25">
      <c r="A180" t="s">
        <v>61</v>
      </c>
      <c r="B180" s="1">
        <v>1200</v>
      </c>
      <c r="C180" t="s">
        <v>0</v>
      </c>
      <c r="D180" t="s">
        <v>868</v>
      </c>
      <c r="E180" t="s">
        <v>1400</v>
      </c>
      <c r="F180" t="s">
        <v>976</v>
      </c>
      <c r="G180" t="str">
        <f t="shared" si="2"/>
        <v>https://wa.me/905425127759?text=%2AM%C4%B0KSER%20CVS%20HANDM%C4%B0X%20EL%20M%C4%B0KSER%C4%B0%2A%20%C3%BCr%C3%BCn%C3%BC%20hakk%C4%B1nda%20bilgi%20almak%20istiyorum.</v>
      </c>
    </row>
    <row r="181" spans="1:7" x14ac:dyDescent="0.25">
      <c r="A181" t="s">
        <v>158</v>
      </c>
      <c r="B181" s="1">
        <v>2600</v>
      </c>
      <c r="C181" t="s">
        <v>0</v>
      </c>
      <c r="D181" t="s">
        <v>868</v>
      </c>
      <c r="E181" t="s">
        <v>1400</v>
      </c>
      <c r="F181" t="s">
        <v>1054</v>
      </c>
      <c r="G181" t="str">
        <f t="shared" si="2"/>
        <v>https://wa.me/905425127759?text=%2AM%C4%B0KSER%20PH%C4%B0L%C4%B0PS%203000%20SER%C4%B0S%C4%B0%2A%20%C3%BCr%C3%BCn%C3%BC%20hakk%C4%B1nda%20bilgi%20almak%20istiyorum.</v>
      </c>
    </row>
    <row r="182" spans="1:7" x14ac:dyDescent="0.25">
      <c r="A182" t="s">
        <v>173</v>
      </c>
      <c r="B182" s="1">
        <v>1400</v>
      </c>
      <c r="C182" t="s">
        <v>0</v>
      </c>
      <c r="D182" t="s">
        <v>868</v>
      </c>
      <c r="E182" t="s">
        <v>1400</v>
      </c>
      <c r="F182" t="s">
        <v>1070</v>
      </c>
      <c r="G182" t="str">
        <f t="shared" si="2"/>
        <v>https://wa.me/905425127759?text=%2AM%C4%B0KSER%20SAREX%20V%C4%B0S%C4%B0ON%2A%20%C3%BCr%C3%BCn%C3%BC%20hakk%C4%B1nda%20bilgi%20almak%20istiyorum.</v>
      </c>
    </row>
    <row r="183" spans="1:7" x14ac:dyDescent="0.25">
      <c r="A183" t="s">
        <v>129</v>
      </c>
      <c r="B183" s="1">
        <v>5500</v>
      </c>
      <c r="C183" t="s">
        <v>0</v>
      </c>
      <c r="D183" t="s">
        <v>868</v>
      </c>
      <c r="E183" t="s">
        <v>1400</v>
      </c>
      <c r="F183" t="s">
        <v>1037</v>
      </c>
      <c r="G183" t="str">
        <f t="shared" si="2"/>
        <v>https://wa.me/905425127759?text=%2AM%C4%B0N%C4%B0SAN%20%283%2B1%29%20PLEYTL%C4%B0%20OCAK%20%C3%9CSTTEN%20D%C3%9C%C4%9EMEL%C4%B0%2A%20%C3%BCr%C3%BCn%C3%BC%20hakk%C4%B1nda%20bilgi%20almak%20istiyorum.</v>
      </c>
    </row>
    <row r="184" spans="1:7" x14ac:dyDescent="0.25">
      <c r="A184" t="s">
        <v>136</v>
      </c>
      <c r="B184" s="1">
        <v>3500</v>
      </c>
      <c r="C184" t="s">
        <v>0</v>
      </c>
      <c r="D184" t="s">
        <v>868</v>
      </c>
      <c r="E184" t="s">
        <v>1400</v>
      </c>
      <c r="F184" t="s">
        <v>1040</v>
      </c>
      <c r="G184" t="str">
        <f t="shared" si="2"/>
        <v>https://wa.me/905425127759?text=%2AM%C4%B0N%C4%B0SAN%203%2B1%20PLEYTL%C4%B0%20%C3%87AKMAKLI%20KLAS%C4%B0K%20OCAK%2A%20%C3%BCr%C3%BCn%C3%BC%20hakk%C4%B1nda%20bilgi%20almak%20istiyorum.</v>
      </c>
    </row>
    <row r="185" spans="1:7" x14ac:dyDescent="0.25">
      <c r="A185" t="s">
        <v>143</v>
      </c>
      <c r="B185" s="1">
        <v>8000</v>
      </c>
      <c r="C185" t="s">
        <v>0</v>
      </c>
      <c r="D185" t="s">
        <v>868</v>
      </c>
      <c r="E185" t="s">
        <v>1400</v>
      </c>
      <c r="F185" t="s">
        <v>1042</v>
      </c>
      <c r="G185" t="str">
        <f t="shared" si="2"/>
        <v>https://wa.me/905425127759?text=%2AM%C4%B0N%C4%B0SAN%20ANKASTRE%20EMAYE%20OCAK%2A%20%C3%BCr%C3%BCn%C3%BC%20hakk%C4%B1nda%20bilgi%20almak%20istiyorum.</v>
      </c>
    </row>
    <row r="186" spans="1:7" x14ac:dyDescent="0.25">
      <c r="A186" t="s">
        <v>146</v>
      </c>
      <c r="B186" s="1">
        <v>3100</v>
      </c>
      <c r="C186" t="s">
        <v>0</v>
      </c>
      <c r="D186" t="s">
        <v>868</v>
      </c>
      <c r="E186" t="s">
        <v>1400</v>
      </c>
      <c r="F186" t="s">
        <v>1045</v>
      </c>
      <c r="G186" t="str">
        <f t="shared" si="2"/>
        <v>https://wa.me/905425127759?text=%2AM%C4%B0N%C4%B0SAN%20%C3%87%C4%B0FTL%C4%B0%20PLEYTL%C4%B0%2A%20%C3%BCr%C3%BCn%C3%BC%20hakk%C4%B1nda%20bilgi%20almak%20istiyorum.</v>
      </c>
    </row>
    <row r="187" spans="1:7" x14ac:dyDescent="0.25">
      <c r="A187" t="s">
        <v>149</v>
      </c>
      <c r="B187" s="1">
        <v>0</v>
      </c>
      <c r="C187" t="s">
        <v>0</v>
      </c>
      <c r="D187" t="s">
        <v>868</v>
      </c>
      <c r="E187" t="s">
        <v>1400</v>
      </c>
      <c r="F187" t="s">
        <v>2450</v>
      </c>
      <c r="G187" t="str">
        <f t="shared" si="2"/>
        <v>https://wa.me/905425127759?text=%2AM%C4%B0N%C4%B0SAN%20SARHO%C5%9E%20VANT%C4%B0LAT%C3%96R%20VEN%C3%9CS%2018%C4%B0N%C3%87%2A%20%C3%BCr%C3%BCn%C3%BC%20hakk%C4%B1nda%20bilgi%20almak%20istiyorum.</v>
      </c>
    </row>
    <row r="188" spans="1:7" x14ac:dyDescent="0.25">
      <c r="A188" t="s">
        <v>150</v>
      </c>
      <c r="B188" s="1">
        <v>2100</v>
      </c>
      <c r="C188" t="s">
        <v>0</v>
      </c>
      <c r="D188" t="s">
        <v>868</v>
      </c>
      <c r="E188" t="s">
        <v>1400</v>
      </c>
      <c r="F188" t="s">
        <v>1049</v>
      </c>
      <c r="G188" t="str">
        <f t="shared" si="2"/>
        <v>https://wa.me/905425127759?text=%2AM%C4%B0N%C4%B0SAN%20TEKL%C4%B0%20PLEYTL%C4%B0%201500W%2A%20%C3%BCr%C3%BCn%C3%BC%20hakk%C4%B1nda%20bilgi%20almak%20istiyorum.</v>
      </c>
    </row>
    <row r="189" spans="1:7" x14ac:dyDescent="0.25">
      <c r="A189" t="s">
        <v>1505</v>
      </c>
      <c r="B189" s="1">
        <v>6000</v>
      </c>
      <c r="C189" t="s">
        <v>0</v>
      </c>
      <c r="D189" t="s">
        <v>868</v>
      </c>
      <c r="E189" t="s">
        <v>1400</v>
      </c>
      <c r="F189" t="s">
        <v>2583</v>
      </c>
      <c r="G189" t="str">
        <f t="shared" si="2"/>
        <v>https://wa.me/905425127759?text=%2AM%C4%B0N%C4%B0SAN-MAX%C4%B0MUS%206401%20FFD%20OCAK%2A%20%C3%BCr%C3%BCn%C3%BC%20hakk%C4%B1nda%20bilgi%20almak%20istiyorum.</v>
      </c>
    </row>
    <row r="190" spans="1:7" x14ac:dyDescent="0.25">
      <c r="A190" t="s">
        <v>153</v>
      </c>
      <c r="B190" s="1">
        <v>4000</v>
      </c>
      <c r="C190" t="s">
        <v>0</v>
      </c>
      <c r="D190" t="s">
        <v>868</v>
      </c>
      <c r="E190" t="s">
        <v>1400</v>
      </c>
      <c r="F190" t="s">
        <v>2451</v>
      </c>
      <c r="G190" t="str">
        <f t="shared" si="2"/>
        <v>https://wa.me/905425127759?text=%2AM%C4%B0N%C4%B0SAN-MAX%C4%B0MUS%20KLAS%C4%B0K%20GAZ%20EMN%C4%B0YETL%C4%B0%20OCAK%2A%20%C3%BCr%C3%BCn%C3%BC%20hakk%C4%B1nda%20bilgi%20almak%20istiyorum.</v>
      </c>
    </row>
    <row r="191" spans="1:7" x14ac:dyDescent="0.25">
      <c r="A191" t="s">
        <v>34</v>
      </c>
      <c r="B191" s="1">
        <v>7280</v>
      </c>
      <c r="C191" t="s">
        <v>0</v>
      </c>
      <c r="D191" t="s">
        <v>868</v>
      </c>
      <c r="E191" t="s">
        <v>1400</v>
      </c>
      <c r="F191" t="s">
        <v>953</v>
      </c>
      <c r="G191" t="str">
        <f t="shared" si="2"/>
        <v>https://wa.me/905425127759?text=%2AMUTFAK%20ROBOTU%20ARN%C4%B0CA%20PROK%C4%B0T%20444%20M%C4%B0N%C4%B0%2A%20%C3%BCr%C3%BCn%C3%BC%20hakk%C4%B1nda%20bilgi%20almak%20istiyorum.</v>
      </c>
    </row>
    <row r="192" spans="1:7" x14ac:dyDescent="0.25">
      <c r="A192" t="s">
        <v>35</v>
      </c>
      <c r="B192" s="1">
        <v>11900</v>
      </c>
      <c r="C192" t="s">
        <v>0</v>
      </c>
      <c r="D192" t="s">
        <v>868</v>
      </c>
      <c r="E192" t="s">
        <v>1400</v>
      </c>
      <c r="F192" t="s">
        <v>954</v>
      </c>
      <c r="G192" t="str">
        <f t="shared" si="2"/>
        <v>https://wa.me/905425127759?text=%2AMUTFAK%20ROBOTU%20ARN%C4%B0CA%20PROK%C4%B0T%20444%20PLUS%2A%20%C3%BCr%C3%BCn%C3%BC%20hakk%C4%B1nda%20bilgi%20almak%20istiyorum.</v>
      </c>
    </row>
    <row r="193" spans="1:7" x14ac:dyDescent="0.25">
      <c r="A193" t="s">
        <v>172</v>
      </c>
      <c r="B193" s="1">
        <v>4500</v>
      </c>
      <c r="C193" t="s">
        <v>0</v>
      </c>
      <c r="D193" t="s">
        <v>868</v>
      </c>
      <c r="E193" t="s">
        <v>1400</v>
      </c>
      <c r="F193" t="s">
        <v>1069</v>
      </c>
      <c r="G193" t="str">
        <f t="shared" ref="G193:G256" si="3">"https://wa.me/905425127759?text=" &amp; _xlfn.ENCODEURL("*" &amp; A193 &amp; "* ürünü hakkında bilgi almak istiyorum.")</f>
        <v>https://wa.me/905425127759?text=%2AP%C4%B0ZZA%20TAVASI%20SAREX%20GURME%20ELKTR%C4%B0KL%C4%B0%2A%20%C3%BCr%C3%BCn%C3%BC%20hakk%C4%B1nda%20bilgi%20almak%20istiyorum.</v>
      </c>
    </row>
    <row r="194" spans="1:7" x14ac:dyDescent="0.25">
      <c r="A194" t="s">
        <v>823</v>
      </c>
      <c r="B194" s="1">
        <v>1000</v>
      </c>
      <c r="C194" t="s">
        <v>0</v>
      </c>
      <c r="D194" t="s">
        <v>868</v>
      </c>
      <c r="E194" t="s">
        <v>1400</v>
      </c>
      <c r="F194" t="s">
        <v>982</v>
      </c>
      <c r="G194" t="str">
        <f t="shared" si="3"/>
        <v>https://wa.me/905425127759?text=%2AQUARTZ%20SOBA%20DA%C4%B0LMOND%20AYAK%20ALTI%2A%20%C3%BCr%C3%BCn%C3%BC%20hakk%C4%B1nda%20bilgi%20almak%20istiyorum.</v>
      </c>
    </row>
    <row r="195" spans="1:7" x14ac:dyDescent="0.25">
      <c r="A195" t="s">
        <v>824</v>
      </c>
      <c r="B195" s="1">
        <v>1000</v>
      </c>
      <c r="C195" t="s">
        <v>0</v>
      </c>
      <c r="D195" t="s">
        <v>868</v>
      </c>
      <c r="E195" t="s">
        <v>1400</v>
      </c>
      <c r="F195" t="s">
        <v>1015</v>
      </c>
      <c r="G195" t="str">
        <f t="shared" si="3"/>
        <v>https://wa.me/905425127759?text=%2AQUARTZ%20SOBA%20HOOK%20AYAZ%203%20%C3%87BK%20M%C4%B0N%C4%B0%2A%20%C3%BCr%C3%BCn%C3%BC%20hakk%C4%B1nda%20bilgi%20almak%20istiyorum.</v>
      </c>
    </row>
    <row r="196" spans="1:7" x14ac:dyDescent="0.25">
      <c r="A196" t="s">
        <v>825</v>
      </c>
      <c r="B196" s="1">
        <v>1000</v>
      </c>
      <c r="C196" t="s">
        <v>0</v>
      </c>
      <c r="D196" t="s">
        <v>868</v>
      </c>
      <c r="E196" t="s">
        <v>1400</v>
      </c>
      <c r="F196" t="s">
        <v>2452</v>
      </c>
      <c r="G196" t="str">
        <f t="shared" si="3"/>
        <v>https://wa.me/905425127759?text=%2AQUARTZ%20SOBA%20HOOK%20G%C3%9CNE%C5%9E%202%20%C3%87BK%20M%C4%B0N%C4%B0%2A%20%C3%BCr%C3%BCn%C3%BC%20hakk%C4%B1nda%20bilgi%20almak%20istiyorum.</v>
      </c>
    </row>
    <row r="197" spans="1:7" x14ac:dyDescent="0.25">
      <c r="A197" t="s">
        <v>826</v>
      </c>
      <c r="B197" s="1">
        <v>0</v>
      </c>
      <c r="C197" t="s">
        <v>0</v>
      </c>
      <c r="D197" t="s">
        <v>868</v>
      </c>
      <c r="E197" t="s">
        <v>1400</v>
      </c>
      <c r="F197" t="s">
        <v>1046</v>
      </c>
      <c r="G197" t="str">
        <f t="shared" si="3"/>
        <v>https://wa.me/905425127759?text=%2AQUARTZ%20SOBA%20M%C4%B0N%C4%B0SAN%20DP%201200W%20AYAK%20ALTI%20SOBA%2A%20%C3%BCr%C3%BCn%C3%BC%20hakk%C4%B1nda%20bilgi%20almak%20istiyorum.</v>
      </c>
    </row>
    <row r="198" spans="1:7" x14ac:dyDescent="0.25">
      <c r="A198" t="s">
        <v>147</v>
      </c>
      <c r="B198" s="1">
        <v>4500</v>
      </c>
      <c r="C198" t="s">
        <v>0</v>
      </c>
      <c r="D198" t="s">
        <v>868</v>
      </c>
      <c r="E198" t="s">
        <v>1400</v>
      </c>
      <c r="F198" t="s">
        <v>1047</v>
      </c>
      <c r="G198" t="str">
        <f t="shared" si="3"/>
        <v>https://wa.me/905425127759?text=%2AQUARTZ%20SOBA%20M%C4%B0N%C4%B0SAN%20MAX%C4%B0%202500W%20BUHARLI%2A%20%C3%BCr%C3%BCn%C3%BC%20hakk%C4%B1nda%20bilgi%20almak%20istiyorum.</v>
      </c>
    </row>
    <row r="199" spans="1:7" x14ac:dyDescent="0.25">
      <c r="A199" t="s">
        <v>148</v>
      </c>
      <c r="B199" s="1">
        <v>3800</v>
      </c>
      <c r="C199" t="s">
        <v>0</v>
      </c>
      <c r="D199" t="s">
        <v>868</v>
      </c>
      <c r="E199" t="s">
        <v>1400</v>
      </c>
      <c r="F199" t="s">
        <v>1048</v>
      </c>
      <c r="G199" t="str">
        <f t="shared" si="3"/>
        <v>https://wa.me/905425127759?text=%2AQUARTZ%20SOBA%20M%C4%B0N%C4%B0SAN%20M%C4%B0D%C4%B0%202100W%20BUHARLI%2A%20%C3%BCr%C3%BCn%C3%BC%20hakk%C4%B1nda%20bilgi%20almak%20istiyorum.</v>
      </c>
    </row>
    <row r="200" spans="1:7" x14ac:dyDescent="0.25">
      <c r="A200" t="s">
        <v>827</v>
      </c>
      <c r="B200" s="1">
        <v>750</v>
      </c>
      <c r="C200" t="s">
        <v>0</v>
      </c>
      <c r="D200" t="s">
        <v>868</v>
      </c>
      <c r="E200" t="s">
        <v>1400</v>
      </c>
      <c r="F200" t="s">
        <v>1050</v>
      </c>
      <c r="G200" t="str">
        <f t="shared" si="3"/>
        <v>https://wa.me/905425127759?text=%2AQUARTZ%20SOBA%20ON%C4%B0X%20AYAK%20ALTI%20%28GARANT%C4%B0S%C4%B0Z%29%2A%20%C3%BCr%C3%BCn%C3%BC%20hakk%C4%B1nda%20bilgi%20almak%20istiyorum.</v>
      </c>
    </row>
    <row r="201" spans="1:7" x14ac:dyDescent="0.25">
      <c r="A201" t="s">
        <v>195</v>
      </c>
      <c r="B201" s="1">
        <v>0</v>
      </c>
      <c r="C201" t="s">
        <v>0</v>
      </c>
      <c r="D201" t="s">
        <v>868</v>
      </c>
      <c r="E201" t="s">
        <v>1400</v>
      </c>
      <c r="F201" t="s">
        <v>2377</v>
      </c>
      <c r="G201" t="str">
        <f t="shared" si="3"/>
        <v>https://wa.me/905425127759?text=%2AQUARTZ%20SOBA%20%C5%9EAMDAN%203001-3002%20%282%2B1%29%201650W%2A%20%C3%BCr%C3%BCn%C3%BC%20hakk%C4%B1nda%20bilgi%20almak%20istiyorum.</v>
      </c>
    </row>
    <row r="202" spans="1:7" x14ac:dyDescent="0.25">
      <c r="A202" t="s">
        <v>197</v>
      </c>
      <c r="B202" s="1">
        <v>3300</v>
      </c>
      <c r="C202" t="s">
        <v>0</v>
      </c>
      <c r="D202" t="s">
        <v>868</v>
      </c>
      <c r="E202" t="s">
        <v>1400</v>
      </c>
      <c r="F202" t="s">
        <v>2453</v>
      </c>
      <c r="G202" t="str">
        <f t="shared" si="3"/>
        <v>https://wa.me/905425127759?text=%2AQUARTZ%20SOBA%20%C5%9EAMDAN%203003%20SL%C4%B0M%2A%20%C3%BCr%C3%BCn%C3%BC%20hakk%C4%B1nda%20bilgi%20almak%20istiyorum.</v>
      </c>
    </row>
    <row r="203" spans="1:7" x14ac:dyDescent="0.25">
      <c r="A203" t="s">
        <v>196</v>
      </c>
      <c r="B203" s="1">
        <v>3500</v>
      </c>
      <c r="C203" t="s">
        <v>0</v>
      </c>
      <c r="D203" t="s">
        <v>868</v>
      </c>
      <c r="E203" t="s">
        <v>1400</v>
      </c>
      <c r="F203" t="s">
        <v>2454</v>
      </c>
      <c r="G203" t="str">
        <f t="shared" si="3"/>
        <v>https://wa.me/905425127759?text=%2AQUARTZ%20SOBA%20%C5%9EAMDAN%203003%20SL%C4%B0M%20%C4%B0NFRARED%20%2A%20%C3%BCr%C3%BCn%C3%BC%20hakk%C4%B1nda%20bilgi%20almak%20istiyorum.</v>
      </c>
    </row>
    <row r="204" spans="1:7" x14ac:dyDescent="0.25">
      <c r="A204" t="s">
        <v>198</v>
      </c>
      <c r="B204" s="1">
        <v>3300</v>
      </c>
      <c r="C204" t="s">
        <v>0</v>
      </c>
      <c r="D204" t="s">
        <v>868</v>
      </c>
      <c r="E204" t="s">
        <v>1400</v>
      </c>
      <c r="F204" t="s">
        <v>2378</v>
      </c>
      <c r="G204" t="str">
        <f t="shared" si="3"/>
        <v>https://wa.me/905425127759?text=%2AQUARTZ%20SOBA%20%C5%9EAMDAN%203004%2A%20%C3%BCr%C3%BCn%C3%BC%20hakk%C4%B1nda%20bilgi%20almak%20istiyorum.</v>
      </c>
    </row>
    <row r="205" spans="1:7" x14ac:dyDescent="0.25">
      <c r="A205" t="s">
        <v>705</v>
      </c>
      <c r="B205" s="1">
        <v>3500</v>
      </c>
      <c r="C205" t="s">
        <v>0</v>
      </c>
      <c r="D205" t="s">
        <v>868</v>
      </c>
      <c r="E205" t="s">
        <v>1400</v>
      </c>
      <c r="F205" t="s">
        <v>2455</v>
      </c>
      <c r="G205" t="str">
        <f t="shared" si="3"/>
        <v>https://wa.me/905425127759?text=%2AQUARTZ%20SOBA%20%C5%9EAMDAN%203005%20%C4%B0NFRARED%2A%20%C3%BCr%C3%BCn%C3%BC%20hakk%C4%B1nda%20bilgi%20almak%20istiyorum.</v>
      </c>
    </row>
    <row r="206" spans="1:7" x14ac:dyDescent="0.25">
      <c r="A206" t="s">
        <v>199</v>
      </c>
      <c r="B206" s="1">
        <v>3300</v>
      </c>
      <c r="C206" t="s">
        <v>0</v>
      </c>
      <c r="D206" t="s">
        <v>868</v>
      </c>
      <c r="E206" t="s">
        <v>1400</v>
      </c>
      <c r="F206" t="s">
        <v>2379</v>
      </c>
      <c r="G206" t="str">
        <f t="shared" si="3"/>
        <v>https://wa.me/905425127759?text=%2AQUARTZ%20SOBA%20%C5%9EAMDAN%203005%20QUARTZ%2A%20%C3%BCr%C3%BCn%C3%BC%20hakk%C4%B1nda%20bilgi%20almak%20istiyorum.</v>
      </c>
    </row>
    <row r="207" spans="1:7" x14ac:dyDescent="0.25">
      <c r="A207" t="s">
        <v>200</v>
      </c>
      <c r="B207" s="1">
        <v>0</v>
      </c>
      <c r="C207" t="s">
        <v>0</v>
      </c>
      <c r="D207" t="s">
        <v>868</v>
      </c>
      <c r="E207" t="s">
        <v>1400</v>
      </c>
      <c r="F207" t="s">
        <v>2380</v>
      </c>
      <c r="G207" t="str">
        <f t="shared" si="3"/>
        <v>https://wa.me/905425127759?text=%2AQUARTZ%20SOBA%20%C5%9EAMDAN%203009%20SOBA%2A%20%C3%BCr%C3%BCn%C3%BC%20hakk%C4%B1nda%20bilgi%20almak%20istiyorum.</v>
      </c>
    </row>
    <row r="208" spans="1:7" x14ac:dyDescent="0.25">
      <c r="A208" t="s">
        <v>671</v>
      </c>
      <c r="B208" s="1">
        <v>9000</v>
      </c>
      <c r="C208" t="s">
        <v>0</v>
      </c>
      <c r="D208" t="s">
        <v>868</v>
      </c>
      <c r="E208" t="s">
        <v>1400</v>
      </c>
      <c r="F208" t="s">
        <v>1117</v>
      </c>
      <c r="G208" t="str">
        <f t="shared" si="3"/>
        <v>https://wa.me/905425127759?text=%2ARANZA%20%C4%B0K%C4%B0%20KATLI%2A%20%C3%BCr%C3%BCn%C3%BC%20hakk%C4%B1nda%20bilgi%20almak%20istiyorum.</v>
      </c>
    </row>
    <row r="209" spans="1:7" x14ac:dyDescent="0.25">
      <c r="A209" t="s">
        <v>36</v>
      </c>
      <c r="B209" s="1">
        <v>3100</v>
      </c>
      <c r="C209" t="s">
        <v>0</v>
      </c>
      <c r="D209" t="s">
        <v>868</v>
      </c>
      <c r="E209" t="s">
        <v>1400</v>
      </c>
      <c r="F209" t="s">
        <v>955</v>
      </c>
      <c r="G209" t="str">
        <f t="shared" si="3"/>
        <v>https://wa.me/905425127759?text=%2ARONDO%20ARN%C4%B0CA%20RAP%C4%B0D%20M%C4%B0N%C4%B0%2A%20%C3%BCr%C3%BCn%C3%BC%20hakk%C4%B1nda%20bilgi%20almak%20istiyorum.</v>
      </c>
    </row>
    <row r="210" spans="1:7" x14ac:dyDescent="0.25">
      <c r="A210" t="s">
        <v>37</v>
      </c>
      <c r="B210" s="1">
        <v>3400</v>
      </c>
      <c r="C210" t="s">
        <v>0</v>
      </c>
      <c r="D210" t="s">
        <v>868</v>
      </c>
      <c r="E210" t="s">
        <v>1400</v>
      </c>
      <c r="F210" t="s">
        <v>956</v>
      </c>
      <c r="G210" t="str">
        <f t="shared" si="3"/>
        <v>https://wa.me/905425127759?text=%2ARONDO%20ARN%C4%B0CA%20RAP%C4%B0D%20PLUS%2A%20%C3%BCr%C3%BCn%C3%BC%20hakk%C4%B1nda%20bilgi%20almak%20istiyorum.</v>
      </c>
    </row>
    <row r="211" spans="1:7" x14ac:dyDescent="0.25">
      <c r="A211" t="s">
        <v>38</v>
      </c>
      <c r="B211" s="1">
        <v>4000</v>
      </c>
      <c r="C211" t="s">
        <v>0</v>
      </c>
      <c r="D211" t="s">
        <v>868</v>
      </c>
      <c r="E211" t="s">
        <v>1400</v>
      </c>
      <c r="F211" t="s">
        <v>957</v>
      </c>
      <c r="G211" t="str">
        <f t="shared" si="3"/>
        <v>https://wa.me/905425127759?text=%2ARONDO%20ARN%C4%B0CA%20RAP%C4%B0D%20PRO%2A%20%C3%BCr%C3%BCn%C3%BC%20hakk%C4%B1nda%20bilgi%20almak%20istiyorum.</v>
      </c>
    </row>
    <row r="212" spans="1:7" x14ac:dyDescent="0.25">
      <c r="A212" t="s">
        <v>650</v>
      </c>
      <c r="B212" s="1">
        <v>1700</v>
      </c>
      <c r="C212" t="s">
        <v>0</v>
      </c>
      <c r="D212" t="s">
        <v>868</v>
      </c>
      <c r="E212" t="s">
        <v>1400</v>
      </c>
      <c r="F212" t="s">
        <v>2456</v>
      </c>
      <c r="G212" t="str">
        <f t="shared" si="3"/>
        <v>https://wa.me/905425127759?text=%2ARONDO%20CONT%C4%B0%20QUICKMASTER%20CMD-305%2A%20%C3%BCr%C3%BCn%C3%BC%20hakk%C4%B1nda%20bilgi%20almak%20istiyorum.</v>
      </c>
    </row>
    <row r="213" spans="1:7" x14ac:dyDescent="0.25">
      <c r="A213" t="s">
        <v>73</v>
      </c>
      <c r="B213" s="1">
        <v>0</v>
      </c>
      <c r="C213" t="s">
        <v>0</v>
      </c>
      <c r="D213" t="s">
        <v>868</v>
      </c>
      <c r="E213" t="s">
        <v>1400</v>
      </c>
      <c r="F213" t="s">
        <v>2457</v>
      </c>
      <c r="G213" t="str">
        <f t="shared" si="3"/>
        <v>https://wa.me/905425127759?text=%2ASA%C3%87%20D%C3%9CZLE%C5%9ET%C4%B0C%C4%B0%20FAK%C4%B0R%20HARVEY%2A%20%C3%BCr%C3%BCn%C3%BC%20hakk%C4%B1nda%20bilgi%20almak%20istiyorum.</v>
      </c>
    </row>
    <row r="214" spans="1:7" x14ac:dyDescent="0.25">
      <c r="A214" t="s">
        <v>69</v>
      </c>
      <c r="B214" s="1">
        <v>4000</v>
      </c>
      <c r="C214" t="s">
        <v>0</v>
      </c>
      <c r="D214" t="s">
        <v>868</v>
      </c>
      <c r="E214" t="s">
        <v>1400</v>
      </c>
      <c r="F214" t="s">
        <v>986</v>
      </c>
      <c r="G214" t="str">
        <f t="shared" si="3"/>
        <v>https://wa.me/905425127759?text=%2ASA%C3%87%20KESME%20MAK%C4%B0NES%C4%B0%20FAK%C4%B0R%20BOSSY%2A%20%C3%BCr%C3%BCn%C3%BC%20hakk%C4%B1nda%20bilgi%20almak%20istiyorum.</v>
      </c>
    </row>
    <row r="215" spans="1:7" x14ac:dyDescent="0.25">
      <c r="A215" t="s">
        <v>652</v>
      </c>
      <c r="B215" s="1">
        <v>500</v>
      </c>
      <c r="C215" t="s">
        <v>0</v>
      </c>
      <c r="D215" t="s">
        <v>868</v>
      </c>
      <c r="E215" t="s">
        <v>1400</v>
      </c>
      <c r="F215" t="s">
        <v>1111</v>
      </c>
      <c r="G215" t="str">
        <f t="shared" si="3"/>
        <v>https://wa.me/905425127759?text=%2ASA%C3%87%20KURUTMA%20MAK%C4%B0NES%C4%B0%20AWOX%20FOLD%2A%20%C3%BCr%C3%BCn%C3%BC%20hakk%C4%B1nda%20bilgi%20almak%20istiyorum.</v>
      </c>
    </row>
    <row r="216" spans="1:7" x14ac:dyDescent="0.25">
      <c r="A216" t="s">
        <v>649</v>
      </c>
      <c r="B216" s="1">
        <v>1300</v>
      </c>
      <c r="C216" t="s">
        <v>0</v>
      </c>
      <c r="D216" t="s">
        <v>868</v>
      </c>
      <c r="E216" t="s">
        <v>1400</v>
      </c>
      <c r="F216" t="s">
        <v>2458</v>
      </c>
      <c r="G216" t="str">
        <f t="shared" si="3"/>
        <v>https://wa.me/905425127759?text=%2ASA%C3%87%20KURUTMA%20MAK%C4%B0NES%C4%B0%20CONT%C4%B0%20COOL%20CHD-120%2A%20%C3%BCr%C3%BCn%C3%BC%20hakk%C4%B1nda%20bilgi%20almak%20istiyorum.</v>
      </c>
    </row>
    <row r="217" spans="1:7" x14ac:dyDescent="0.25">
      <c r="A217" t="s">
        <v>778</v>
      </c>
      <c r="B217" s="1">
        <v>1500</v>
      </c>
      <c r="C217" t="s">
        <v>0</v>
      </c>
      <c r="D217" t="s">
        <v>868</v>
      </c>
      <c r="E217" t="s">
        <v>1400</v>
      </c>
      <c r="F217" t="s">
        <v>1122</v>
      </c>
      <c r="G217" t="str">
        <f t="shared" si="3"/>
        <v>https://wa.me/905425127759?text=%2ASA%C3%87%20KURUTMA%20MAK%C4%B0NES%C4%B0%20CVS%20M%C4%B0MAS%2A%20%C3%BCr%C3%BCn%C3%BC%20hakk%C4%B1nda%20bilgi%20almak%20istiyorum.</v>
      </c>
    </row>
    <row r="218" spans="1:7" x14ac:dyDescent="0.25">
      <c r="A218" t="s">
        <v>647</v>
      </c>
      <c r="B218" s="1">
        <v>3100</v>
      </c>
      <c r="C218" t="s">
        <v>0</v>
      </c>
      <c r="D218" t="s">
        <v>868</v>
      </c>
      <c r="E218" t="s">
        <v>1400</v>
      </c>
      <c r="F218" t="s">
        <v>1107</v>
      </c>
      <c r="G218" t="str">
        <f t="shared" si="3"/>
        <v>https://wa.me/905425127759?text=%2ASA%C3%87%20KURUTMA%20MAK%C4%B0NES%C4%B0%20FAK%C4%B0R%20ADVANCE%20DRY%20PRO%2A%20%C3%BCr%C3%BCn%C3%BC%20hakk%C4%B1nda%20bilgi%20almak%20istiyorum.</v>
      </c>
    </row>
    <row r="219" spans="1:7" x14ac:dyDescent="0.25">
      <c r="A219" t="s">
        <v>79</v>
      </c>
      <c r="B219" s="1">
        <v>3100</v>
      </c>
      <c r="C219" t="s">
        <v>0</v>
      </c>
      <c r="D219" t="s">
        <v>868</v>
      </c>
      <c r="E219" t="s">
        <v>1400</v>
      </c>
      <c r="F219" t="s">
        <v>993</v>
      </c>
      <c r="G219" t="str">
        <f t="shared" si="3"/>
        <v>https://wa.me/905425127759?text=%2ASA%C3%87%20KURUTMA%20MAK%C4%B0NES%C4%B0%20FAK%C4%B0R%20ANGEL%C4%B0CA%2A%20%C3%BCr%C3%BCn%C3%BC%20hakk%C4%B1nda%20bilgi%20almak%20istiyorum.</v>
      </c>
    </row>
    <row r="220" spans="1:7" x14ac:dyDescent="0.25">
      <c r="A220" t="s">
        <v>78</v>
      </c>
      <c r="B220" s="1">
        <v>3000</v>
      </c>
      <c r="C220" t="s">
        <v>0</v>
      </c>
      <c r="D220" t="s">
        <v>868</v>
      </c>
      <c r="E220" t="s">
        <v>1400</v>
      </c>
      <c r="F220" t="s">
        <v>992</v>
      </c>
      <c r="G220" t="str">
        <f t="shared" si="3"/>
        <v>https://wa.me/905425127759?text=%2ASA%C3%87%20KURUTMA%20MAK%C4%B0NES%C4%B0%20FAK%C4%B0R%20BR%C4%B0SE%2A%20%C3%BCr%C3%BCn%C3%BC%20hakk%C4%B1nda%20bilgi%20almak%20istiyorum.</v>
      </c>
    </row>
    <row r="221" spans="1:7" x14ac:dyDescent="0.25">
      <c r="A221" t="s">
        <v>72</v>
      </c>
      <c r="B221" s="1">
        <v>3000</v>
      </c>
      <c r="C221" t="s">
        <v>0</v>
      </c>
      <c r="D221" t="s">
        <v>868</v>
      </c>
      <c r="E221" t="s">
        <v>1400</v>
      </c>
      <c r="F221" t="s">
        <v>987</v>
      </c>
      <c r="G221" t="str">
        <f t="shared" si="3"/>
        <v>https://wa.me/905425127759?text=%2ASA%C3%87%20KURUTMA%20MAK%C4%B0NES%C4%B0%20FAK%C4%B0R%20GLOR%C4%B0A%2A%20%C3%BCr%C3%BCn%C3%BC%20hakk%C4%B1nda%20bilgi%20almak%20istiyorum.</v>
      </c>
    </row>
    <row r="222" spans="1:7" x14ac:dyDescent="0.25">
      <c r="A222" t="s">
        <v>76</v>
      </c>
      <c r="B222" s="1">
        <v>3000</v>
      </c>
      <c r="C222" t="s">
        <v>0</v>
      </c>
      <c r="D222" t="s">
        <v>868</v>
      </c>
      <c r="E222" t="s">
        <v>1400</v>
      </c>
      <c r="F222" t="s">
        <v>990</v>
      </c>
      <c r="G222" t="str">
        <f t="shared" si="3"/>
        <v>https://wa.me/905425127759?text=%2ASA%C3%87%20KURUTMA%20MAK%C4%B0NES%C4%B0%20FAK%C4%B0R%20NOBLE%2A%20%C3%BCr%C3%BCn%C3%BC%20hakk%C4%B1nda%20bilgi%20almak%20istiyorum.</v>
      </c>
    </row>
    <row r="223" spans="1:7" x14ac:dyDescent="0.25">
      <c r="A223" t="s">
        <v>80</v>
      </c>
      <c r="B223" s="1">
        <v>3000</v>
      </c>
      <c r="C223" t="s">
        <v>0</v>
      </c>
      <c r="D223" t="s">
        <v>868</v>
      </c>
      <c r="E223" t="s">
        <v>1400</v>
      </c>
      <c r="F223" t="s">
        <v>994</v>
      </c>
      <c r="G223" t="str">
        <f t="shared" si="3"/>
        <v>https://wa.me/905425127759?text=%2ASA%C3%87%20KURUTMA%20MAK%C4%B0NES%C4%B0%20FAK%C4%B0R%20NORTE%2A%20%C3%BCr%C3%BCn%C3%BC%20hakk%C4%B1nda%20bilgi%20almak%20istiyorum.</v>
      </c>
    </row>
    <row r="224" spans="1:7" x14ac:dyDescent="0.25">
      <c r="A224" t="s">
        <v>648</v>
      </c>
      <c r="B224" s="1">
        <v>2900</v>
      </c>
      <c r="C224" t="s">
        <v>0</v>
      </c>
      <c r="D224" t="s">
        <v>868</v>
      </c>
      <c r="E224" t="s">
        <v>1400</v>
      </c>
      <c r="F224" t="s">
        <v>1108</v>
      </c>
      <c r="G224" t="str">
        <f t="shared" si="3"/>
        <v>https://wa.me/905425127759?text=%2ASA%C3%87%20KURUTMA%20MAK%C4%B0NES%C4%B0%20FAK%C4%B0R%20ROSEL%C4%B0NE%2A%20%C3%BCr%C3%BCn%C3%BC%20hakk%C4%B1nda%20bilgi%20almak%20istiyorum.</v>
      </c>
    </row>
    <row r="225" spans="1:7" x14ac:dyDescent="0.25">
      <c r="A225" t="s">
        <v>120</v>
      </c>
      <c r="B225" s="1">
        <v>1800</v>
      </c>
      <c r="C225" t="s">
        <v>0</v>
      </c>
      <c r="D225" t="s">
        <v>868</v>
      </c>
      <c r="E225" t="s">
        <v>1400</v>
      </c>
      <c r="F225" t="s">
        <v>1031</v>
      </c>
      <c r="G225" t="str">
        <f t="shared" si="3"/>
        <v>https://wa.me/905425127759?text=%2ASA%C3%87%20KURUTMA%20MAK%C4%B0NES%C4%B0%20K%C4%B0NG%20L%C4%B0NNA%2A%20%C3%BCr%C3%BCn%C3%BC%20hakk%C4%B1nda%20bilgi%20almak%20istiyorum.</v>
      </c>
    </row>
    <row r="226" spans="1:7" x14ac:dyDescent="0.25">
      <c r="A226" t="s">
        <v>779</v>
      </c>
      <c r="B226" s="1">
        <v>1500</v>
      </c>
      <c r="C226" t="s">
        <v>0</v>
      </c>
      <c r="D226" t="s">
        <v>868</v>
      </c>
      <c r="E226" t="s">
        <v>1400</v>
      </c>
      <c r="F226" t="s">
        <v>2459</v>
      </c>
      <c r="G226" t="str">
        <f t="shared" si="3"/>
        <v>https://wa.me/905425127759?text=%2ASA%C3%87%20KURUTMA%20MAK%C4%B0NES%C4%B0%20RAKS%20KATLANAB%C4%B0L%C4%B0R%20RK-1750%2A%20%C3%BCr%C3%BCn%C3%BC%20hakk%C4%B1nda%20bilgi%20almak%20istiyorum.</v>
      </c>
    </row>
    <row r="227" spans="1:7" x14ac:dyDescent="0.25">
      <c r="A227" t="s">
        <v>165</v>
      </c>
      <c r="B227" s="1">
        <v>1300</v>
      </c>
      <c r="C227" t="s">
        <v>0</v>
      </c>
      <c r="D227" t="s">
        <v>868</v>
      </c>
      <c r="E227" t="s">
        <v>1400</v>
      </c>
      <c r="F227" t="s">
        <v>1059</v>
      </c>
      <c r="G227" t="str">
        <f t="shared" si="3"/>
        <v>https://wa.me/905425127759?text=%2ASA%C3%87%20KURUTMA%20MAK%C4%B0NES%C4%B0%20RAKS%20LOR%C4%B0S%2A%20%C3%BCr%C3%BCn%C3%BC%20hakk%C4%B1nda%20bilgi%20almak%20istiyorum.</v>
      </c>
    </row>
    <row r="228" spans="1:7" x14ac:dyDescent="0.25">
      <c r="A228" t="s">
        <v>164</v>
      </c>
      <c r="B228" s="1">
        <v>1300</v>
      </c>
      <c r="C228" t="s">
        <v>0</v>
      </c>
      <c r="D228" t="s">
        <v>868</v>
      </c>
      <c r="E228" t="s">
        <v>1400</v>
      </c>
      <c r="F228" t="s">
        <v>1058</v>
      </c>
      <c r="G228" t="str">
        <f t="shared" si="3"/>
        <v>https://wa.me/905425127759?text=%2ASA%C3%87%20KURUTMA%20MAK%C4%B0NES%C4%B0%20RAKS%20M%C4%B0RA%2A%20%C3%BCr%C3%BCn%C3%BC%20hakk%C4%B1nda%20bilgi%20almak%20istiyorum.</v>
      </c>
    </row>
    <row r="229" spans="1:7" x14ac:dyDescent="0.25">
      <c r="A229" t="s">
        <v>166</v>
      </c>
      <c r="B229" s="1">
        <v>1300</v>
      </c>
      <c r="C229" t="s">
        <v>0</v>
      </c>
      <c r="D229" t="s">
        <v>868</v>
      </c>
      <c r="E229" t="s">
        <v>1400</v>
      </c>
      <c r="F229" t="s">
        <v>1060</v>
      </c>
      <c r="G229" t="str">
        <f t="shared" si="3"/>
        <v>https://wa.me/905425127759?text=%2ASA%C3%87%20KURUTMA%20MAK%C4%B0NES%C4%B0%20RAKS%20NORA%2A%20%C3%BCr%C3%BCn%C3%BC%20hakk%C4%B1nda%20bilgi%20almak%20istiyorum.</v>
      </c>
    </row>
    <row r="230" spans="1:7" x14ac:dyDescent="0.25">
      <c r="A230" t="s">
        <v>169</v>
      </c>
      <c r="B230" s="1">
        <v>1700</v>
      </c>
      <c r="C230" t="s">
        <v>0</v>
      </c>
      <c r="D230" t="s">
        <v>868</v>
      </c>
      <c r="E230" t="s">
        <v>1400</v>
      </c>
      <c r="F230" t="s">
        <v>1064</v>
      </c>
      <c r="G230" t="str">
        <f t="shared" si="3"/>
        <v>https://wa.me/905425127759?text=%2ASA%C3%87%20KURUTMA%20MAK%C4%B0NES%C4%B0%20RANGE%20STYLE%2A%20%C3%BCr%C3%BCn%C3%BC%20hakk%C4%B1nda%20bilgi%20almak%20istiyorum.</v>
      </c>
    </row>
    <row r="231" spans="1:7" x14ac:dyDescent="0.25">
      <c r="A231" t="s">
        <v>170</v>
      </c>
      <c r="B231" s="1">
        <v>1400</v>
      </c>
      <c r="C231" t="s">
        <v>0</v>
      </c>
      <c r="D231" t="s">
        <v>868</v>
      </c>
      <c r="E231" t="s">
        <v>1400</v>
      </c>
      <c r="F231" t="s">
        <v>1067</v>
      </c>
      <c r="G231" t="str">
        <f t="shared" si="3"/>
        <v>https://wa.me/905425127759?text=%2ASA%C3%87%20KURUTMA%20MAK%C4%B0NES%C4%B0%20SAREX%20EM%C4%B0LY%2A%20%C3%BCr%C3%BCn%C3%BC%20hakk%C4%B1nda%20bilgi%20almak%20istiyorum.</v>
      </c>
    </row>
    <row r="232" spans="1:7" x14ac:dyDescent="0.25">
      <c r="A232" t="s">
        <v>171</v>
      </c>
      <c r="B232" s="1">
        <v>1200</v>
      </c>
      <c r="C232" t="s">
        <v>0</v>
      </c>
      <c r="D232" t="s">
        <v>868</v>
      </c>
      <c r="E232" t="s">
        <v>1400</v>
      </c>
      <c r="F232" t="s">
        <v>1068</v>
      </c>
      <c r="G232" t="str">
        <f t="shared" si="3"/>
        <v>https://wa.me/905425127759?text=%2ASA%C3%87%20KURUTMA%20MAK%C4%B0NES%C4%B0%20SAREX%20L%C4%B0NA%2A%20%C3%BCr%C3%BCn%C3%BC%20hakk%C4%B1nda%20bilgi%20almak%20istiyorum.</v>
      </c>
    </row>
    <row r="233" spans="1:7" x14ac:dyDescent="0.25">
      <c r="A233" t="s">
        <v>180</v>
      </c>
      <c r="B233" s="1">
        <v>2300</v>
      </c>
      <c r="C233" t="s">
        <v>0</v>
      </c>
      <c r="D233" t="s">
        <v>868</v>
      </c>
      <c r="E233" t="s">
        <v>1400</v>
      </c>
      <c r="F233" t="s">
        <v>1075</v>
      </c>
      <c r="G233" t="str">
        <f t="shared" si="3"/>
        <v>https://wa.me/905425127759?text=%2ASA%C3%87%20KURUTMA%20MAK%C4%B0NES%C4%B0%20ST%C4%B0LEVS%20F%C3%96NMAT%C4%B0K%20FN978%2A%20%C3%BCr%C3%BCn%C3%BC%20hakk%C4%B1nda%20bilgi%20almak%20istiyorum.</v>
      </c>
    </row>
    <row r="234" spans="1:7" x14ac:dyDescent="0.25">
      <c r="A234" t="s">
        <v>57</v>
      </c>
      <c r="B234" s="1">
        <v>800</v>
      </c>
      <c r="C234" t="s">
        <v>0</v>
      </c>
      <c r="D234" t="s">
        <v>868</v>
      </c>
      <c r="E234" t="s">
        <v>1400</v>
      </c>
      <c r="F234" t="s">
        <v>2460</v>
      </c>
      <c r="G234" t="str">
        <f t="shared" si="3"/>
        <v>https://wa.me/905425127759?text=%2ASA%C3%87%20MA%C5%9EA%20VE%20%C5%9EEK%C4%B0LLEND%C4%B0R%C4%B0C%C4%B0%20CONT%C4%B0%20TW%C4%B0NY%2A%20%C3%BCr%C3%BCn%C3%BC%20hakk%C4%B1nda%20bilgi%20almak%20istiyorum.</v>
      </c>
    </row>
    <row r="235" spans="1:7" x14ac:dyDescent="0.25">
      <c r="A235" t="s">
        <v>781</v>
      </c>
      <c r="B235" s="1">
        <v>1700</v>
      </c>
      <c r="C235" t="s">
        <v>0</v>
      </c>
      <c r="D235" t="s">
        <v>868</v>
      </c>
      <c r="E235" t="s">
        <v>1400</v>
      </c>
      <c r="F235" t="s">
        <v>2461</v>
      </c>
      <c r="G235" t="str">
        <f t="shared" si="3"/>
        <v>https://wa.me/905425127759?text=%2ASA%C3%87%20MA%C5%9EASI%20CONT%C4%B0%2A%20%C3%BCr%C3%BCn%C3%BC%20hakk%C4%B1nda%20bilgi%20almak%20istiyorum.</v>
      </c>
    </row>
    <row r="236" spans="1:7" x14ac:dyDescent="0.25">
      <c r="A236" t="s">
        <v>71</v>
      </c>
      <c r="B236" s="1">
        <v>3000</v>
      </c>
      <c r="C236" t="s">
        <v>0</v>
      </c>
      <c r="D236" t="s">
        <v>868</v>
      </c>
      <c r="E236" t="s">
        <v>1400</v>
      </c>
      <c r="F236" t="s">
        <v>2462</v>
      </c>
      <c r="G236" t="str">
        <f t="shared" si="3"/>
        <v>https://wa.me/905425127759?text=%2ASA%C3%87%20MA%C5%9EASI%20FAK%C4%B0R%20ESTELLE%2A%20%C3%BCr%C3%BCn%C3%BC%20hakk%C4%B1nda%20bilgi%20almak%20istiyorum.</v>
      </c>
    </row>
    <row r="237" spans="1:7" x14ac:dyDescent="0.25">
      <c r="A237" t="s">
        <v>74</v>
      </c>
      <c r="B237" s="1">
        <v>3000</v>
      </c>
      <c r="C237" t="s">
        <v>0</v>
      </c>
      <c r="D237" t="s">
        <v>868</v>
      </c>
      <c r="E237" t="s">
        <v>1400</v>
      </c>
      <c r="F237" t="s">
        <v>2463</v>
      </c>
      <c r="G237" t="str">
        <f t="shared" si="3"/>
        <v>https://wa.me/905425127759?text=%2ASA%C3%87%20MA%C5%9EASI%20FAK%C4%B0R%20H%C4%B0EDRA%2A%20%C3%BCr%C3%BCn%C3%BC%20hakk%C4%B1nda%20bilgi%20almak%20istiyorum.</v>
      </c>
    </row>
    <row r="238" spans="1:7" x14ac:dyDescent="0.25">
      <c r="A238" t="s">
        <v>168</v>
      </c>
      <c r="B238" s="1">
        <v>2500</v>
      </c>
      <c r="C238" t="s">
        <v>0</v>
      </c>
      <c r="D238" t="s">
        <v>868</v>
      </c>
      <c r="E238" t="s">
        <v>1400</v>
      </c>
      <c r="F238" t="s">
        <v>2381</v>
      </c>
      <c r="G238" t="str">
        <f t="shared" si="3"/>
        <v>https://wa.me/905425127759?text=%2ASA%C3%87%20MA%C5%9EASI%20RANGE%20SD%203000%2A%20%C3%BCr%C3%BCn%C3%BC%20hakk%C4%B1nda%20bilgi%20almak%20istiyorum.</v>
      </c>
    </row>
    <row r="239" spans="1:7" x14ac:dyDescent="0.25">
      <c r="A239" t="s">
        <v>657</v>
      </c>
      <c r="B239" s="1">
        <v>14850</v>
      </c>
      <c r="C239" t="s">
        <v>0</v>
      </c>
      <c r="D239" t="s">
        <v>868</v>
      </c>
      <c r="E239" t="s">
        <v>1400</v>
      </c>
      <c r="F239" t="s">
        <v>1114</v>
      </c>
      <c r="G239" t="str">
        <f t="shared" si="3"/>
        <v>https://wa.me/905425127759?text=%2ASEB%C4%B0L%20AWOX%20ROSSO%20ARITMALI%2A%20%C3%BCr%C3%BCn%C3%BC%20hakk%C4%B1nda%20bilgi%20almak%20istiyorum.</v>
      </c>
    </row>
    <row r="240" spans="1:7" x14ac:dyDescent="0.25">
      <c r="A240" t="s">
        <v>658</v>
      </c>
      <c r="B240" s="1">
        <v>14000</v>
      </c>
      <c r="C240" t="s">
        <v>0</v>
      </c>
      <c r="D240" t="s">
        <v>868</v>
      </c>
      <c r="E240" t="s">
        <v>1400</v>
      </c>
      <c r="F240" t="s">
        <v>1115</v>
      </c>
      <c r="G240" t="str">
        <f t="shared" si="3"/>
        <v>https://wa.me/905425127759?text=%2ASEB%C4%B0L%20AWOX%20SNOW%20D%C3%9CZ%2A%20%C3%BCr%C3%BCn%C3%BC%20hakk%C4%B1nda%20bilgi%20almak%20istiyorum.</v>
      </c>
    </row>
    <row r="241" spans="1:7" x14ac:dyDescent="0.25">
      <c r="A241" t="s">
        <v>807</v>
      </c>
      <c r="B241" s="1">
        <v>16000</v>
      </c>
      <c r="C241" t="s">
        <v>0</v>
      </c>
      <c r="D241" t="s">
        <v>868</v>
      </c>
      <c r="E241" t="s">
        <v>1400</v>
      </c>
      <c r="F241" t="s">
        <v>1121</v>
      </c>
      <c r="G241" t="str">
        <f t="shared" si="3"/>
        <v>https://wa.me/905425127759?text=%2ASEB%C4%B0L%20SUNDAY%2A%20%C3%BCr%C3%BCn%C3%BC%20hakk%C4%B1nda%20bilgi%20almak%20istiyorum.</v>
      </c>
    </row>
    <row r="242" spans="1:7" x14ac:dyDescent="0.25">
      <c r="A242" t="s">
        <v>24</v>
      </c>
      <c r="B242" s="1">
        <v>4400</v>
      </c>
      <c r="C242" t="s">
        <v>0</v>
      </c>
      <c r="D242" t="s">
        <v>868</v>
      </c>
      <c r="E242" t="s">
        <v>1400</v>
      </c>
      <c r="F242" t="s">
        <v>943</v>
      </c>
      <c r="G242" t="str">
        <f t="shared" si="3"/>
        <v>https://wa.me/905425127759?text=%2ASEMAVER%20ARMA%C4%9EAN%20100%20BARDAK%2A%20%C3%BCr%C3%BCn%C3%BC%20hakk%C4%B1nda%20bilgi%20almak%20istiyorum.</v>
      </c>
    </row>
    <row r="243" spans="1:7" x14ac:dyDescent="0.25">
      <c r="A243" t="s">
        <v>640</v>
      </c>
      <c r="B243" s="1">
        <v>5000</v>
      </c>
      <c r="C243" t="s">
        <v>0</v>
      </c>
      <c r="D243" t="s">
        <v>868</v>
      </c>
      <c r="E243" t="s">
        <v>1400</v>
      </c>
      <c r="F243" t="s">
        <v>1101</v>
      </c>
      <c r="G243" t="str">
        <f t="shared" si="3"/>
        <v>https://wa.me/905425127759?text=%2ASEMAVER%20%C3%87AKIR%20%C3%87EL%C4%B0K%20140%20BARDAK%2A%20%C3%BCr%C3%BCn%C3%BC%20hakk%C4%B1nda%20bilgi%20almak%20istiyorum.</v>
      </c>
    </row>
    <row r="244" spans="1:7" x14ac:dyDescent="0.25">
      <c r="A244" t="s">
        <v>641</v>
      </c>
      <c r="B244" s="1">
        <v>4000</v>
      </c>
      <c r="C244" t="s">
        <v>0</v>
      </c>
      <c r="D244" t="s">
        <v>868</v>
      </c>
      <c r="E244" t="s">
        <v>1400</v>
      </c>
      <c r="F244" t="s">
        <v>1102</v>
      </c>
      <c r="G244" t="str">
        <f t="shared" si="3"/>
        <v>https://wa.me/905425127759?text=%2ASEMAVER%20%C3%87AKIR%20%C3%87EL%C4%B0K%2050%20BARDAK%2A%20%C3%BCr%C3%BCn%C3%BC%20hakk%C4%B1nda%20bilgi%20almak%20istiyorum.</v>
      </c>
    </row>
    <row r="245" spans="1:7" x14ac:dyDescent="0.25">
      <c r="A245" t="s">
        <v>639</v>
      </c>
      <c r="B245" s="1">
        <v>4500</v>
      </c>
      <c r="C245" t="s">
        <v>0</v>
      </c>
      <c r="D245" t="s">
        <v>868</v>
      </c>
      <c r="E245" t="s">
        <v>1400</v>
      </c>
      <c r="F245" t="s">
        <v>1100</v>
      </c>
      <c r="G245" t="str">
        <f t="shared" si="3"/>
        <v>https://wa.me/905425127759?text=%2ASEMAVER%20%C3%87AKIR%20%C3%87EL%C4%B0K%2080%20BARDAK%2A%20%C3%BCr%C3%BCn%C3%BC%20hakk%C4%B1nda%20bilgi%20almak%20istiyorum.</v>
      </c>
    </row>
    <row r="246" spans="1:7" x14ac:dyDescent="0.25">
      <c r="A246" t="s">
        <v>108</v>
      </c>
      <c r="B246" s="1">
        <v>8100</v>
      </c>
      <c r="C246" t="s">
        <v>0</v>
      </c>
      <c r="D246" t="s">
        <v>868</v>
      </c>
      <c r="E246" t="s">
        <v>1400</v>
      </c>
      <c r="F246" t="s">
        <v>1019</v>
      </c>
      <c r="G246" t="str">
        <f t="shared" si="3"/>
        <v>https://wa.me/905425127759?text=%2ASEMAVER%20%C4%B0MZA%20120%20BARDAK%2A%20%C3%BCr%C3%BCn%C3%BC%20hakk%C4%B1nda%20bilgi%20almak%20istiyorum.</v>
      </c>
    </row>
    <row r="247" spans="1:7" x14ac:dyDescent="0.25">
      <c r="A247" t="s">
        <v>109</v>
      </c>
      <c r="B247" s="1">
        <v>8900</v>
      </c>
      <c r="C247" t="s">
        <v>0</v>
      </c>
      <c r="D247" t="s">
        <v>868</v>
      </c>
      <c r="E247" t="s">
        <v>1400</v>
      </c>
      <c r="F247" t="s">
        <v>1020</v>
      </c>
      <c r="G247" t="str">
        <f t="shared" si="3"/>
        <v>https://wa.me/905425127759?text=%2ASEMAVER%20%C4%B0MZA%20160%20BARDAK%2A%20%C3%BCr%C3%BCn%C3%BC%20hakk%C4%B1nda%20bilgi%20almak%20istiyorum.</v>
      </c>
    </row>
    <row r="248" spans="1:7" x14ac:dyDescent="0.25">
      <c r="A248" t="s">
        <v>110</v>
      </c>
      <c r="B248" s="1">
        <v>10000</v>
      </c>
      <c r="C248" t="s">
        <v>0</v>
      </c>
      <c r="D248" t="s">
        <v>868</v>
      </c>
      <c r="E248" t="s">
        <v>1400</v>
      </c>
      <c r="F248" t="s">
        <v>1021</v>
      </c>
      <c r="G248" t="str">
        <f t="shared" si="3"/>
        <v>https://wa.me/905425127759?text=%2ASEMAVER%20%C4%B0MZA%20250%20BARDAK%2A%20%C3%BCr%C3%BCn%C3%BC%20hakk%C4%B1nda%20bilgi%20almak%20istiyorum.</v>
      </c>
    </row>
    <row r="249" spans="1:7" x14ac:dyDescent="0.25">
      <c r="A249" t="s">
        <v>111</v>
      </c>
      <c r="B249" s="1">
        <v>5200</v>
      </c>
      <c r="C249" t="s">
        <v>0</v>
      </c>
      <c r="D249" t="s">
        <v>868</v>
      </c>
      <c r="E249" t="s">
        <v>1400</v>
      </c>
      <c r="F249" t="s">
        <v>1022</v>
      </c>
      <c r="G249" t="str">
        <f t="shared" si="3"/>
        <v>https://wa.me/905425127759?text=%2ASEMAVER%20%C4%B0MZA%2030%20BARDAK%2A%20%C3%BCr%C3%BCn%C3%BC%20hakk%C4%B1nda%20bilgi%20almak%20istiyorum.</v>
      </c>
    </row>
    <row r="250" spans="1:7" x14ac:dyDescent="0.25">
      <c r="A250" t="s">
        <v>112</v>
      </c>
      <c r="B250" s="1">
        <v>14000</v>
      </c>
      <c r="C250" t="s">
        <v>0</v>
      </c>
      <c r="D250" t="s">
        <v>868</v>
      </c>
      <c r="E250" t="s">
        <v>1400</v>
      </c>
      <c r="F250" t="s">
        <v>1023</v>
      </c>
      <c r="G250" t="str">
        <f t="shared" si="3"/>
        <v>https://wa.me/905425127759?text=%2ASEMAVER%20%C4%B0MZA%20350%20BARDAK%2A%20%C3%BCr%C3%BCn%C3%BC%20hakk%C4%B1nda%20bilgi%20almak%20istiyorum.</v>
      </c>
    </row>
    <row r="251" spans="1:7" x14ac:dyDescent="0.25">
      <c r="A251" t="s">
        <v>113</v>
      </c>
      <c r="B251" s="1">
        <v>6100</v>
      </c>
      <c r="C251" t="s">
        <v>0</v>
      </c>
      <c r="D251" t="s">
        <v>868</v>
      </c>
      <c r="E251" t="s">
        <v>1400</v>
      </c>
      <c r="F251" t="s">
        <v>1024</v>
      </c>
      <c r="G251" t="str">
        <f t="shared" si="3"/>
        <v>https://wa.me/905425127759?text=%2ASEMAVER%20%C4%B0MZA%2050%20BARDAK%2A%20%C3%BCr%C3%BCn%C3%BC%20hakk%C4%B1nda%20bilgi%20almak%20istiyorum.</v>
      </c>
    </row>
    <row r="252" spans="1:7" x14ac:dyDescent="0.25">
      <c r="A252" t="s">
        <v>114</v>
      </c>
      <c r="B252" s="1">
        <v>0</v>
      </c>
      <c r="C252" t="s">
        <v>0</v>
      </c>
      <c r="D252" t="s">
        <v>868</v>
      </c>
      <c r="E252" t="s">
        <v>1400</v>
      </c>
      <c r="F252" t="s">
        <v>1025</v>
      </c>
      <c r="G252" t="str">
        <f t="shared" si="3"/>
        <v>https://wa.me/905425127759?text=%2ASEMAVER%20%C4%B0MZA%2080%20BARDAK%2A%20%C3%BCr%C3%BCn%C3%BC%20hakk%C4%B1nda%20bilgi%20almak%20istiyorum.</v>
      </c>
    </row>
    <row r="253" spans="1:7" x14ac:dyDescent="0.25">
      <c r="A253" t="s">
        <v>460</v>
      </c>
      <c r="B253" s="1">
        <v>8000</v>
      </c>
      <c r="C253" t="s">
        <v>0</v>
      </c>
      <c r="D253" t="s">
        <v>868</v>
      </c>
      <c r="E253" t="s">
        <v>1400</v>
      </c>
      <c r="F253" t="s">
        <v>1095</v>
      </c>
      <c r="G253" t="str">
        <f t="shared" si="3"/>
        <v>https://wa.me/905425127759?text=%2ASEMAVER%20KAPLANLI%20120%20BARDAK%2A%20%C3%BCr%C3%BCn%C3%BC%20hakk%C4%B1nda%20bilgi%20almak%20istiyorum.</v>
      </c>
    </row>
    <row r="254" spans="1:7" x14ac:dyDescent="0.25">
      <c r="A254" t="s">
        <v>115</v>
      </c>
      <c r="B254" s="1">
        <v>8900</v>
      </c>
      <c r="C254" t="s">
        <v>0</v>
      </c>
      <c r="D254" t="s">
        <v>868</v>
      </c>
      <c r="E254" t="s">
        <v>1400</v>
      </c>
      <c r="F254" t="s">
        <v>1026</v>
      </c>
      <c r="G254" t="str">
        <f t="shared" si="3"/>
        <v>https://wa.me/905425127759?text=%2ASEMAVER%20KAPLANLI%20160%20BARDAK%2A%20%C3%BCr%C3%BCn%C3%BC%20hakk%C4%B1nda%20bilgi%20almak%20istiyorum.</v>
      </c>
    </row>
    <row r="255" spans="1:7" x14ac:dyDescent="0.25">
      <c r="A255" t="s">
        <v>116</v>
      </c>
      <c r="B255" s="1">
        <v>10000</v>
      </c>
      <c r="C255" t="s">
        <v>0</v>
      </c>
      <c r="D255" t="s">
        <v>868</v>
      </c>
      <c r="E255" t="s">
        <v>1400</v>
      </c>
      <c r="F255" t="s">
        <v>1027</v>
      </c>
      <c r="G255" t="str">
        <f t="shared" si="3"/>
        <v>https://wa.me/905425127759?text=%2ASEMAVER%20KAPLANLI%20250%20BARDAK%2A%20%C3%BCr%C3%BCn%C3%BC%20hakk%C4%B1nda%20bilgi%20almak%20istiyorum.</v>
      </c>
    </row>
    <row r="256" spans="1:7" x14ac:dyDescent="0.25">
      <c r="A256" t="s">
        <v>117</v>
      </c>
      <c r="B256" s="1">
        <v>6300</v>
      </c>
      <c r="C256" t="s">
        <v>0</v>
      </c>
      <c r="D256" t="s">
        <v>868</v>
      </c>
      <c r="E256" t="s">
        <v>1400</v>
      </c>
      <c r="F256" t="s">
        <v>1028</v>
      </c>
      <c r="G256" t="str">
        <f t="shared" si="3"/>
        <v>https://wa.me/905425127759?text=%2ASEMAVER%20KAPLANLI%2040%20BARDAK%2A%20%C3%BCr%C3%BCn%C3%BC%20hakk%C4%B1nda%20bilgi%20almak%20istiyorum.</v>
      </c>
    </row>
    <row r="257" spans="1:7" x14ac:dyDescent="0.25">
      <c r="A257" t="s">
        <v>118</v>
      </c>
      <c r="B257" s="1">
        <v>6900</v>
      </c>
      <c r="C257" t="s">
        <v>0</v>
      </c>
      <c r="D257" t="s">
        <v>868</v>
      </c>
      <c r="E257" t="s">
        <v>1400</v>
      </c>
      <c r="F257" t="s">
        <v>1029</v>
      </c>
      <c r="G257" t="str">
        <f t="shared" ref="G257:G320" si="4">"https://wa.me/905425127759?text=" &amp; _xlfn.ENCODEURL("*" &amp; A257 &amp; "* ürünü hakkında bilgi almak istiyorum.")</f>
        <v>https://wa.me/905425127759?text=%2ASEMAVER%20KAPLANLI%2060%20BARDAK%2A%20%C3%BCr%C3%BCn%C3%BC%20hakk%C4%B1nda%20bilgi%20almak%20istiyorum.</v>
      </c>
    </row>
    <row r="258" spans="1:7" x14ac:dyDescent="0.25">
      <c r="A258" t="s">
        <v>119</v>
      </c>
      <c r="B258" s="1">
        <v>7550</v>
      </c>
      <c r="C258" t="s">
        <v>0</v>
      </c>
      <c r="D258" t="s">
        <v>868</v>
      </c>
      <c r="E258" t="s">
        <v>1400</v>
      </c>
      <c r="F258" t="s">
        <v>1030</v>
      </c>
      <c r="G258" t="str">
        <f t="shared" si="4"/>
        <v>https://wa.me/905425127759?text=%2ASEMAVER%20KAPLANLI%2080%20BARDAK%2A%20%C3%BCr%C3%BCn%C3%BC%20hakk%C4%B1nda%20bilgi%20almak%20istiyorum.</v>
      </c>
    </row>
    <row r="259" spans="1:7" x14ac:dyDescent="0.25">
      <c r="A259" t="s">
        <v>154</v>
      </c>
      <c r="B259" s="1">
        <v>3900</v>
      </c>
      <c r="C259" t="s">
        <v>0</v>
      </c>
      <c r="D259" t="s">
        <v>868</v>
      </c>
      <c r="E259" t="s">
        <v>1400</v>
      </c>
      <c r="F259" t="s">
        <v>1051</v>
      </c>
      <c r="G259" t="str">
        <f t="shared" si="4"/>
        <v>https://wa.me/905425127759?text=%2ASEMAVER%20PEGASUS%20B%C3%9CY%C3%9CK%20BOY%20ELEKTR%C4%B0KL%C4%B0%20%2A%20%C3%BCr%C3%BCn%C3%BC%20hakk%C4%B1nda%20bilgi%20almak%20istiyorum.</v>
      </c>
    </row>
    <row r="260" spans="1:7" x14ac:dyDescent="0.25">
      <c r="A260" t="s">
        <v>155</v>
      </c>
      <c r="B260" s="1">
        <v>4200</v>
      </c>
      <c r="C260" t="s">
        <v>0</v>
      </c>
      <c r="D260" t="s">
        <v>868</v>
      </c>
      <c r="E260" t="s">
        <v>1400</v>
      </c>
      <c r="F260" t="s">
        <v>2464</v>
      </c>
      <c r="G260" t="str">
        <f t="shared" si="4"/>
        <v>https://wa.me/905425127759?text=%2ASEMAVER%20PEGASUS%20HANZADE%20ELEKTR%C4%B0KL%C4%B0%204%2C5LT%20%286%29%2A%20%C3%BCr%C3%BCn%C3%BC%20hakk%C4%B1nda%20bilgi%20almak%20istiyorum.</v>
      </c>
    </row>
    <row r="261" spans="1:7" x14ac:dyDescent="0.25">
      <c r="A261" t="s">
        <v>156</v>
      </c>
      <c r="B261" s="1">
        <v>3600</v>
      </c>
      <c r="C261" t="s">
        <v>0</v>
      </c>
      <c r="D261" t="s">
        <v>868</v>
      </c>
      <c r="E261" t="s">
        <v>1400</v>
      </c>
      <c r="F261" t="s">
        <v>1052</v>
      </c>
      <c r="G261" t="str">
        <f t="shared" si="4"/>
        <v>https://wa.me/905425127759?text=%2ASEMAVER%20PEGASUS%20K%C3%9C%C3%87%C3%9CK%20BOY%20ELEKTR%C4%B0KL%C4%B0%20%286%29%2A%20%C3%BCr%C3%BCn%C3%BC%20hakk%C4%B1nda%20bilgi%20almak%20istiyorum.</v>
      </c>
    </row>
    <row r="262" spans="1:7" x14ac:dyDescent="0.25">
      <c r="A262" t="s">
        <v>801</v>
      </c>
      <c r="B262" s="1">
        <v>1700</v>
      </c>
      <c r="C262" t="s">
        <v>0</v>
      </c>
      <c r="D262" t="s">
        <v>868</v>
      </c>
      <c r="E262" t="s">
        <v>1400</v>
      </c>
      <c r="F262" t="s">
        <v>1130</v>
      </c>
      <c r="G262" t="str">
        <f t="shared" si="4"/>
        <v>https://wa.me/905425127759?text=%2ASOFRA%2080%20L%C4%B0K%2A%20%C3%BCr%C3%BCn%C3%BC%20hakk%C4%B1nda%20bilgi%20almak%20istiyorum.</v>
      </c>
    </row>
    <row r="263" spans="1:7" x14ac:dyDescent="0.25">
      <c r="A263" t="s">
        <v>32</v>
      </c>
      <c r="B263" s="1">
        <v>0</v>
      </c>
      <c r="C263" t="s">
        <v>0</v>
      </c>
      <c r="D263" t="s">
        <v>868</v>
      </c>
      <c r="E263" t="s">
        <v>1400</v>
      </c>
      <c r="F263" t="s">
        <v>951</v>
      </c>
      <c r="G263" t="str">
        <f t="shared" si="4"/>
        <v>https://wa.me/905425127759?text=%2AS%C3%9CP%C3%9CRGE%20ARN%C4%B0CA%20LOTUS%20TOZ%20TORBALI%2A%20%C3%BCr%C3%BCn%C3%BC%20hakk%C4%B1nda%20bilgi%20almak%20istiyorum.</v>
      </c>
    </row>
    <row r="264" spans="1:7" x14ac:dyDescent="0.25">
      <c r="A264" t="s">
        <v>33</v>
      </c>
      <c r="B264" s="1">
        <v>0</v>
      </c>
      <c r="C264" t="s">
        <v>0</v>
      </c>
      <c r="D264" t="s">
        <v>868</v>
      </c>
      <c r="E264" t="s">
        <v>1400</v>
      </c>
      <c r="F264" t="s">
        <v>952</v>
      </c>
      <c r="G264" t="str">
        <f t="shared" si="4"/>
        <v>https://wa.me/905425127759?text=%2AS%C3%9CP%C3%9CRGE%20ARN%C4%B0CA%20M%C4%B0LA%20TOZ%20TORBASIZ%2014441%2A%20%C3%BCr%C3%BCn%C3%BC%20hakk%C4%B1nda%20bilgi%20almak%20istiyorum.</v>
      </c>
    </row>
    <row r="265" spans="1:7" x14ac:dyDescent="0.25">
      <c r="A265" t="s">
        <v>39</v>
      </c>
      <c r="B265" s="1">
        <v>0</v>
      </c>
      <c r="C265" t="s">
        <v>0</v>
      </c>
      <c r="D265" t="s">
        <v>868</v>
      </c>
      <c r="E265" t="s">
        <v>1400</v>
      </c>
      <c r="F265" t="s">
        <v>958</v>
      </c>
      <c r="G265" t="str">
        <f t="shared" si="4"/>
        <v>https://wa.me/905425127759?text=%2AS%C3%9CP%C3%9CRGE%20ARN%C4%B0CA%20TAYFUN%20ISLAK%20KURU%2A%20%C3%BCr%C3%BCn%C3%BC%20hakk%C4%B1nda%20bilgi%20almak%20istiyorum.</v>
      </c>
    </row>
    <row r="266" spans="1:7" x14ac:dyDescent="0.25">
      <c r="A266" t="s">
        <v>40</v>
      </c>
      <c r="B266" s="1">
        <v>19250</v>
      </c>
      <c r="C266" t="s">
        <v>0</v>
      </c>
      <c r="D266" t="s">
        <v>868</v>
      </c>
      <c r="E266" t="s">
        <v>1400</v>
      </c>
      <c r="F266" t="s">
        <v>959</v>
      </c>
      <c r="G266" t="str">
        <f t="shared" si="4"/>
        <v>https://wa.me/905425127759?text=%2AS%C3%9CP%C3%9CRGE%20ARN%C4%B0CA%20TESLA%20PREM%C4%B0UM%20TORBASIZ%20ET14300%2A%20%C3%BCr%C3%BCn%C3%BC%20hakk%C4%B1nda%20bilgi%20almak%20istiyorum.</v>
      </c>
    </row>
    <row r="267" spans="1:7" x14ac:dyDescent="0.25">
      <c r="A267" t="s">
        <v>41</v>
      </c>
      <c r="B267" s="1">
        <v>17820</v>
      </c>
      <c r="C267" t="s">
        <v>0</v>
      </c>
      <c r="D267" t="s">
        <v>868</v>
      </c>
      <c r="E267" t="s">
        <v>1400</v>
      </c>
      <c r="F267" t="s">
        <v>960</v>
      </c>
      <c r="G267" t="str">
        <f t="shared" si="4"/>
        <v>https://wa.me/905425127759?text=%2AS%C3%9CP%C3%9CRGE%20ARN%C4%B0CA%20TESLA%20TOZ%20TORBASIZ%20ET14310%2A%20%C3%BCr%C3%BCn%C3%BC%20hakk%C4%B1nda%20bilgi%20almak%20istiyorum.</v>
      </c>
    </row>
    <row r="268" spans="1:7" x14ac:dyDescent="0.25">
      <c r="A268" t="s">
        <v>811</v>
      </c>
      <c r="B268" s="1">
        <v>4000</v>
      </c>
      <c r="C268" t="s">
        <v>0</v>
      </c>
      <c r="D268" t="s">
        <v>868</v>
      </c>
      <c r="E268" t="s">
        <v>1400</v>
      </c>
      <c r="F268" t="s">
        <v>996</v>
      </c>
      <c r="G268" t="str">
        <f t="shared" si="4"/>
        <v>https://wa.me/905425127759?text=%2AS%C3%9CP%C3%9CRGE%20BASTON%20FAK%C4%B0R%20REMATR%C4%B0X%2A%20%C3%BCr%C3%BCn%C3%BC%20hakk%C4%B1nda%20bilgi%20almak%20istiyorum.</v>
      </c>
    </row>
    <row r="269" spans="1:7" x14ac:dyDescent="0.25">
      <c r="A269" t="s">
        <v>812</v>
      </c>
      <c r="B269" s="1">
        <v>5200</v>
      </c>
      <c r="C269" t="s">
        <v>0</v>
      </c>
      <c r="D269" t="s">
        <v>868</v>
      </c>
      <c r="E269" t="s">
        <v>1400</v>
      </c>
      <c r="F269" t="s">
        <v>997</v>
      </c>
      <c r="G269" t="str">
        <f t="shared" si="4"/>
        <v>https://wa.me/905425127759?text=%2AS%C3%9CP%C3%9CRGE%20BASTON%20FAK%C4%B0R%20RODY%2A%20%C3%BCr%C3%BCn%C3%BC%20hakk%C4%B1nda%20bilgi%20almak%20istiyorum.</v>
      </c>
    </row>
    <row r="270" spans="1:7" x14ac:dyDescent="0.25">
      <c r="A270" t="s">
        <v>813</v>
      </c>
      <c r="B270" s="1">
        <v>4500</v>
      </c>
      <c r="C270" t="s">
        <v>0</v>
      </c>
      <c r="D270" t="s">
        <v>868</v>
      </c>
      <c r="E270" t="s">
        <v>1400</v>
      </c>
      <c r="F270" t="s">
        <v>1005</v>
      </c>
      <c r="G270" t="str">
        <f t="shared" si="4"/>
        <v>https://wa.me/905425127759?text=%2AS%C3%9CP%C3%9CRGE%20BASTON%20FANTOM%20MAGIC%20P3000%2A%20%C3%BCr%C3%BCn%C3%BC%20hakk%C4%B1nda%20bilgi%20almak%20istiyorum.</v>
      </c>
    </row>
    <row r="271" spans="1:7" x14ac:dyDescent="0.25">
      <c r="A271" t="s">
        <v>814</v>
      </c>
      <c r="B271" s="1">
        <v>3500</v>
      </c>
      <c r="C271" t="s">
        <v>0</v>
      </c>
      <c r="D271" t="s">
        <v>868</v>
      </c>
      <c r="E271" t="s">
        <v>1400</v>
      </c>
      <c r="F271" t="s">
        <v>1062</v>
      </c>
      <c r="G271" t="str">
        <f t="shared" si="4"/>
        <v>https://wa.me/905425127759?text=%2AS%C3%9CP%C3%9CRGE%20BASTON%20RANGE%20DAILYCLEAN%C4%B0NG%2A%20%C3%BCr%C3%BCn%C3%BC%20hakk%C4%B1nda%20bilgi%20almak%20istiyorum.</v>
      </c>
    </row>
    <row r="272" spans="1:7" x14ac:dyDescent="0.25">
      <c r="A272" t="s">
        <v>815</v>
      </c>
      <c r="B272" s="1">
        <v>3000</v>
      </c>
      <c r="C272" t="s">
        <v>0</v>
      </c>
      <c r="D272" t="s">
        <v>868</v>
      </c>
      <c r="E272" t="s">
        <v>1400</v>
      </c>
      <c r="F272" t="s">
        <v>1065</v>
      </c>
      <c r="G272" t="str">
        <f t="shared" si="4"/>
        <v>https://wa.me/905425127759?text=%2AS%C3%9CP%C3%9CRGE%20BASTON%20SAREX%20SMORTY%2A%20%C3%BCr%C3%BCn%C3%BC%20hakk%C4%B1nda%20bilgi%20almak%20istiyorum.</v>
      </c>
    </row>
    <row r="273" spans="1:7" x14ac:dyDescent="0.25">
      <c r="A273" t="s">
        <v>56</v>
      </c>
      <c r="B273" s="1">
        <v>6440</v>
      </c>
      <c r="C273" t="s">
        <v>0</v>
      </c>
      <c r="D273" t="s">
        <v>868</v>
      </c>
      <c r="E273" t="s">
        <v>1400</v>
      </c>
      <c r="F273" t="s">
        <v>973</v>
      </c>
      <c r="G273" t="str">
        <f t="shared" si="4"/>
        <v>https://wa.me/905425127759?text=%2AS%C3%9CP%C3%9CRGE%20CONT%C4%B0%20STARL%C4%B0FE%20KABLO%20SARMALI%2A%20%C3%BCr%C3%BCn%C3%BC%20hakk%C4%B1nda%20bilgi%20almak%20istiyorum.</v>
      </c>
    </row>
    <row r="274" spans="1:7" x14ac:dyDescent="0.25">
      <c r="A274" t="s">
        <v>81</v>
      </c>
      <c r="B274" s="1">
        <v>11900</v>
      </c>
      <c r="C274" t="s">
        <v>0</v>
      </c>
      <c r="D274" t="s">
        <v>868</v>
      </c>
      <c r="E274" t="s">
        <v>1400</v>
      </c>
      <c r="F274" t="s">
        <v>995</v>
      </c>
      <c r="G274" t="str">
        <f t="shared" si="4"/>
        <v>https://wa.me/905425127759?text=%2AS%C3%9CP%C3%9CRGE%20FAK%C4%B0R%20RANGER%20ELECTRON%C4%B0K%2A%20%C3%BCr%C3%BCn%C3%BC%20hakk%C4%B1nda%20bilgi%20almak%20istiyorum.</v>
      </c>
    </row>
    <row r="275" spans="1:7" x14ac:dyDescent="0.25">
      <c r="A275" t="s">
        <v>82</v>
      </c>
      <c r="B275" s="1">
        <v>15000</v>
      </c>
      <c r="C275" t="s">
        <v>0</v>
      </c>
      <c r="D275" t="s">
        <v>868</v>
      </c>
      <c r="E275" t="s">
        <v>1400</v>
      </c>
      <c r="F275" t="s">
        <v>998</v>
      </c>
      <c r="G275" t="str">
        <f t="shared" si="4"/>
        <v>https://wa.me/905425127759?text=%2AS%C3%9CP%C3%9CRGE%20FAK%C4%B0R%20VEYRON%20PRO%2A%20%C3%BCr%C3%BCn%C3%BC%20hakk%C4%B1nda%20bilgi%20almak%20istiyorum.</v>
      </c>
    </row>
    <row r="276" spans="1:7" x14ac:dyDescent="0.25">
      <c r="A276" t="s">
        <v>88</v>
      </c>
      <c r="B276" s="1">
        <v>0</v>
      </c>
      <c r="C276" t="s">
        <v>0</v>
      </c>
      <c r="D276" t="s">
        <v>868</v>
      </c>
      <c r="E276" t="s">
        <v>1400</v>
      </c>
      <c r="F276" t="s">
        <v>1004</v>
      </c>
      <c r="G276" t="str">
        <f t="shared" si="4"/>
        <v>https://wa.me/905425127759?text=%2AS%C3%9CP%C3%9CRGE%20FANTOM%202700%20ISLAK%20KURU%2A%20%C3%BCr%C3%BCn%C3%BC%20hakk%C4%B1nda%20bilgi%20almak%20istiyorum.</v>
      </c>
    </row>
    <row r="277" spans="1:7" x14ac:dyDescent="0.25">
      <c r="A277" t="s">
        <v>89</v>
      </c>
      <c r="B277" s="1">
        <v>6750</v>
      </c>
      <c r="C277" t="s">
        <v>0</v>
      </c>
      <c r="D277" t="s">
        <v>868</v>
      </c>
      <c r="E277" t="s">
        <v>1400</v>
      </c>
      <c r="F277" t="s">
        <v>2382</v>
      </c>
      <c r="G277" t="str">
        <f t="shared" si="4"/>
        <v>https://wa.me/905425127759?text=%2AS%C3%9CP%C3%9CRGE%20FANTOM%20ECO%20WD%202750-S%2A%20%C3%BCr%C3%BCn%C3%BC%20hakk%C4%B1nda%20bilgi%20almak%20istiyorum.</v>
      </c>
    </row>
    <row r="278" spans="1:7" x14ac:dyDescent="0.25">
      <c r="A278" t="s">
        <v>777</v>
      </c>
      <c r="B278" s="1">
        <v>5000</v>
      </c>
      <c r="C278" t="s">
        <v>0</v>
      </c>
      <c r="D278" t="s">
        <v>868</v>
      </c>
      <c r="E278" t="s">
        <v>1400</v>
      </c>
      <c r="F278" t="s">
        <v>2465</v>
      </c>
      <c r="G278" t="str">
        <f t="shared" si="4"/>
        <v>https://wa.me/905425127759?text=%2AS%C3%9CP%C3%9CRGE%20FANTOM%20PRAT%C4%B0C-S%20P%201200%20KURU%2A%20%C3%BCr%C3%BCn%C3%BC%20hakk%C4%B1nda%20bilgi%20almak%20istiyorum.</v>
      </c>
    </row>
    <row r="279" spans="1:7" x14ac:dyDescent="0.25">
      <c r="A279" t="s">
        <v>643</v>
      </c>
      <c r="B279" s="1">
        <v>12000</v>
      </c>
      <c r="C279" t="s">
        <v>0</v>
      </c>
      <c r="D279" t="s">
        <v>868</v>
      </c>
      <c r="E279" t="s">
        <v>1400</v>
      </c>
      <c r="F279" t="s">
        <v>1104</v>
      </c>
      <c r="G279" t="str">
        <f t="shared" si="4"/>
        <v>https://wa.me/905425127759?text=%2AS%C3%9CP%C3%9CRGE%20FANTOM%20TECHNOVAC%20TR%208700%2A%20%C3%BCr%C3%BCn%C3%BC%20hakk%C4%B1nda%20bilgi%20almak%20istiyorum.</v>
      </c>
    </row>
    <row r="280" spans="1:7" x14ac:dyDescent="0.25">
      <c r="A280" t="s">
        <v>98</v>
      </c>
      <c r="B280" s="1">
        <v>5750</v>
      </c>
      <c r="C280" t="s">
        <v>0</v>
      </c>
      <c r="D280" t="s">
        <v>868</v>
      </c>
      <c r="E280" t="s">
        <v>1400</v>
      </c>
      <c r="F280" t="s">
        <v>2383</v>
      </c>
      <c r="G280" t="str">
        <f t="shared" si="4"/>
        <v>https://wa.me/905425127759?text=%2AS%C3%9CP%C3%9CRGE%20FISCHER%20RU-205%20ISLAK%20KURU%2A%20%C3%BCr%C3%BCn%C3%BC%20hakk%C4%B1nda%20bilgi%20almak%20istiyorum.</v>
      </c>
    </row>
    <row r="281" spans="1:7" x14ac:dyDescent="0.25">
      <c r="A281" t="s">
        <v>97</v>
      </c>
      <c r="B281" s="1">
        <v>5500</v>
      </c>
      <c r="C281" t="s">
        <v>0</v>
      </c>
      <c r="D281" t="s">
        <v>868</v>
      </c>
      <c r="E281" t="s">
        <v>1400</v>
      </c>
      <c r="F281" t="s">
        <v>1010</v>
      </c>
      <c r="G281" t="str">
        <f t="shared" si="4"/>
        <v>https://wa.me/905425127759?text=%2AS%C3%9CP%C3%9CRGE%20FISHER%20NUVO%20SULU%2A%20%C3%BCr%C3%BCn%C3%BC%20hakk%C4%B1nda%20bilgi%20almak%20istiyorum.</v>
      </c>
    </row>
    <row r="282" spans="1:7" x14ac:dyDescent="0.25">
      <c r="A282" t="s">
        <v>161</v>
      </c>
      <c r="B282" s="1">
        <v>17500</v>
      </c>
      <c r="C282" t="s">
        <v>0</v>
      </c>
      <c r="D282" t="s">
        <v>868</v>
      </c>
      <c r="E282" t="s">
        <v>1400</v>
      </c>
      <c r="F282" t="s">
        <v>1056</v>
      </c>
      <c r="G282" t="str">
        <f t="shared" si="4"/>
        <v>https://wa.me/905425127759?text=%2AS%C3%9CP%C3%9CRGE%20PH%C4%B0L%C4%B0PS%20POWERPRO%20C%C4%B0TY%2A%20%C3%BCr%C3%BCn%C3%BC%20hakk%C4%B1nda%20bilgi%20almak%20istiyorum.</v>
      </c>
    </row>
    <row r="283" spans="1:7" x14ac:dyDescent="0.25">
      <c r="A283" t="s">
        <v>167</v>
      </c>
      <c r="B283" s="1">
        <v>8700</v>
      </c>
      <c r="C283" t="s">
        <v>0</v>
      </c>
      <c r="D283" t="s">
        <v>868</v>
      </c>
      <c r="E283" t="s">
        <v>1400</v>
      </c>
      <c r="F283" t="s">
        <v>1061</v>
      </c>
      <c r="G283" t="str">
        <f t="shared" si="4"/>
        <v>https://wa.me/905425127759?text=%2AS%C3%9CP%C3%9CRGE%20RANGE%20BROOM%20PREM%C4%B0UM%2A%20%C3%BCr%C3%BCn%C3%BC%20hakk%C4%B1nda%20bilgi%20almak%20istiyorum.</v>
      </c>
    </row>
    <row r="284" spans="1:7" x14ac:dyDescent="0.25">
      <c r="A284" t="s">
        <v>644</v>
      </c>
      <c r="B284" s="1">
        <v>0</v>
      </c>
      <c r="C284" t="s">
        <v>0</v>
      </c>
      <c r="D284" t="s">
        <v>868</v>
      </c>
      <c r="E284" t="s">
        <v>1400</v>
      </c>
      <c r="F284" t="s">
        <v>1105</v>
      </c>
      <c r="G284" t="str">
        <f t="shared" si="4"/>
        <v>https://wa.me/905425127759?text=%2AS%C3%9CP%C3%9CRGE%20ST%C4%B0LEVS%20MAXTRON%2A%20%C3%BCr%C3%BCn%C3%BC%20hakk%C4%B1nda%20bilgi%20almak%20istiyorum.</v>
      </c>
    </row>
    <row r="285" spans="1:7" x14ac:dyDescent="0.25">
      <c r="A285" t="s">
        <v>785</v>
      </c>
      <c r="B285" s="1">
        <v>9800</v>
      </c>
      <c r="C285" t="s">
        <v>0</v>
      </c>
      <c r="D285" t="s">
        <v>868</v>
      </c>
      <c r="E285" t="s">
        <v>1400</v>
      </c>
      <c r="F285" t="s">
        <v>1127</v>
      </c>
      <c r="G285" t="str">
        <f t="shared" si="4"/>
        <v>https://wa.me/905425127759?text=%2AS%C3%9CP%C3%9CRGE%20VESTEL%20LODOS%20H8000%2A%20%C3%BCr%C3%BCn%C3%BC%20hakk%C4%B1nda%20bilgi%20almak%20istiyorum.</v>
      </c>
    </row>
    <row r="286" spans="1:7" x14ac:dyDescent="0.25">
      <c r="A286" t="s">
        <v>808</v>
      </c>
      <c r="B286" s="1">
        <v>0</v>
      </c>
      <c r="C286" t="s">
        <v>0</v>
      </c>
      <c r="D286" t="s">
        <v>868</v>
      </c>
      <c r="E286" t="s">
        <v>1400</v>
      </c>
      <c r="F286" t="s">
        <v>961</v>
      </c>
      <c r="G286" t="str">
        <f t="shared" si="4"/>
        <v>https://wa.me/905425127759?text=%2AS%C3%9CT%20MAK%C4%B0NES%C4%B0%20ARSAN%20140%20LT%20ELEKTR%C4%B0KL%C4%B0%2A%20%C3%BCr%C3%BCn%C3%BC%20hakk%C4%B1nda%20bilgi%20almak%20istiyorum.</v>
      </c>
    </row>
    <row r="287" spans="1:7" x14ac:dyDescent="0.25">
      <c r="A287" t="s">
        <v>42</v>
      </c>
      <c r="B287" s="1">
        <v>30000</v>
      </c>
      <c r="C287" t="s">
        <v>0</v>
      </c>
      <c r="D287" t="s">
        <v>868</v>
      </c>
      <c r="E287" t="s">
        <v>1400</v>
      </c>
      <c r="F287" t="s">
        <v>962</v>
      </c>
      <c r="G287" t="str">
        <f t="shared" si="4"/>
        <v>https://wa.me/905425127759?text=%2AS%C3%9CT%20MAK%C4%B0NES%C4%B0%20ASYA%20100%20LT%20ELEKTR%C4%B0KL%C4%B0%2A%20%C3%BCr%C3%BCn%C3%BC%20hakk%C4%B1nda%20bilgi%20almak%20istiyorum.</v>
      </c>
    </row>
    <row r="288" spans="1:7" x14ac:dyDescent="0.25">
      <c r="A288" t="s">
        <v>43</v>
      </c>
      <c r="B288" s="1">
        <v>24200</v>
      </c>
      <c r="C288" t="s">
        <v>0</v>
      </c>
      <c r="D288" t="s">
        <v>868</v>
      </c>
      <c r="E288" t="s">
        <v>1400</v>
      </c>
      <c r="F288" t="s">
        <v>963</v>
      </c>
      <c r="G288" t="str">
        <f t="shared" si="4"/>
        <v>https://wa.me/905425127759?text=%2AS%C3%9CT%20MAK%C4%B0NES%C4%B0%20ASYA%20100%20L%C3%9CK%20KOLLU%2A%20%C3%BCr%C3%BCn%C3%BC%20hakk%C4%B1nda%20bilgi%20almak%20istiyorum.</v>
      </c>
    </row>
    <row r="289" spans="1:7" x14ac:dyDescent="0.25">
      <c r="A289" t="s">
        <v>45</v>
      </c>
      <c r="B289" s="1">
        <v>26500</v>
      </c>
      <c r="C289" t="s">
        <v>0</v>
      </c>
      <c r="D289" t="s">
        <v>868</v>
      </c>
      <c r="E289" t="s">
        <v>1400</v>
      </c>
      <c r="F289" t="s">
        <v>965</v>
      </c>
      <c r="G289" t="str">
        <f t="shared" si="4"/>
        <v>https://wa.me/905425127759?text=%2AS%C3%9CT%20MAK%C4%B0NES%C4%B0%20ASYA%20140%20LIK%20KOLLU%2A%20%C3%BCr%C3%BCn%C3%BC%20hakk%C4%B1nda%20bilgi%20almak%20istiyorum.</v>
      </c>
    </row>
    <row r="290" spans="1:7" x14ac:dyDescent="0.25">
      <c r="A290" t="s">
        <v>44</v>
      </c>
      <c r="B290" s="1">
        <v>32200</v>
      </c>
      <c r="C290" t="s">
        <v>0</v>
      </c>
      <c r="D290" t="s">
        <v>868</v>
      </c>
      <c r="E290" t="s">
        <v>1400</v>
      </c>
      <c r="F290" t="s">
        <v>964</v>
      </c>
      <c r="G290" t="str">
        <f t="shared" si="4"/>
        <v>https://wa.me/905425127759?text=%2AS%C3%9CT%20MAK%C4%B0NES%C4%B0%20ASYA%20140%20LT%20ELEKTR%C4%B0KL%C4%B0%2A%20%C3%BCr%C3%BCn%C3%BC%20hakk%C4%B1nda%20bilgi%20almak%20istiyorum.</v>
      </c>
    </row>
    <row r="291" spans="1:7" x14ac:dyDescent="0.25">
      <c r="A291" t="s">
        <v>46</v>
      </c>
      <c r="B291" s="1">
        <v>24000</v>
      </c>
      <c r="C291" t="s">
        <v>0</v>
      </c>
      <c r="D291" t="s">
        <v>868</v>
      </c>
      <c r="E291" t="s">
        <v>1400</v>
      </c>
      <c r="F291" t="s">
        <v>966</v>
      </c>
      <c r="G291" t="str">
        <f t="shared" si="4"/>
        <v>https://wa.me/905425127759?text=%2AS%C3%9CT%20MAK%C4%B0NES%C4%B0%20ASYA%2085%20L%C4%B0K%20KOLLU%2A%20%C3%BCr%C3%BCn%C3%BC%20hakk%C4%B1nda%20bilgi%20almak%20istiyorum.</v>
      </c>
    </row>
    <row r="292" spans="1:7" x14ac:dyDescent="0.25">
      <c r="A292" t="s">
        <v>10</v>
      </c>
      <c r="B292" s="1">
        <v>0</v>
      </c>
      <c r="C292" t="s">
        <v>0</v>
      </c>
      <c r="D292" t="s">
        <v>868</v>
      </c>
      <c r="E292" t="s">
        <v>1400</v>
      </c>
      <c r="F292" t="s">
        <v>2466</v>
      </c>
      <c r="G292" t="str">
        <f t="shared" si="4"/>
        <v>https://wa.me/905425127759?text=%2A%C5%9EOFBEN%20ALERSO%20ELEKTR%C4%B0KL%C4%B0%2A%20%C3%BCr%C3%BCn%C3%BC%20hakk%C4%B1nda%20bilgi%20almak%20istiyorum.</v>
      </c>
    </row>
    <row r="293" spans="1:7" x14ac:dyDescent="0.25">
      <c r="A293" t="s">
        <v>70</v>
      </c>
      <c r="B293" s="1">
        <v>5000</v>
      </c>
      <c r="C293" t="s">
        <v>0</v>
      </c>
      <c r="D293" t="s">
        <v>868</v>
      </c>
      <c r="E293" t="s">
        <v>1400</v>
      </c>
      <c r="F293" t="s">
        <v>2467</v>
      </c>
      <c r="G293" t="str">
        <f t="shared" si="4"/>
        <v>https://wa.me/905425127759?text=%2A%C5%9EOFBEN%20FAK%C4%B0R%20CALENTA%20ELEKTR%C4%B0KL%C4%B0%2A%20%C3%BCr%C3%BCn%C3%BC%20hakk%C4%B1nda%20bilgi%20almak%20istiyorum.</v>
      </c>
    </row>
    <row r="294" spans="1:7" x14ac:dyDescent="0.25">
      <c r="A294" t="s">
        <v>817</v>
      </c>
      <c r="B294" s="1">
        <v>5750</v>
      </c>
      <c r="C294" t="s">
        <v>0</v>
      </c>
      <c r="D294" t="s">
        <v>868</v>
      </c>
      <c r="E294" t="s">
        <v>1400</v>
      </c>
      <c r="F294" t="s">
        <v>2468</v>
      </c>
      <c r="G294" t="str">
        <f t="shared" si="4"/>
        <v>https://wa.me/905425127759?text=%2A%C5%9EOFBEN%20FAK%C4%B0R%20OLYMPUS%20THERMO%20ELEKTR%C4%B0K%2A%20%C3%BCr%C3%BCn%C3%BC%20hakk%C4%B1nda%20bilgi%20almak%20istiyorum.</v>
      </c>
    </row>
    <row r="295" spans="1:7" x14ac:dyDescent="0.25">
      <c r="A295" t="s">
        <v>229</v>
      </c>
      <c r="B295" s="1">
        <v>2700</v>
      </c>
      <c r="C295" t="s">
        <v>0</v>
      </c>
      <c r="D295" t="s">
        <v>868</v>
      </c>
      <c r="E295" t="s">
        <v>1400</v>
      </c>
      <c r="F295" t="s">
        <v>2469</v>
      </c>
      <c r="G295" t="str">
        <f t="shared" si="4"/>
        <v>https://wa.me/905425127759?text=%2A%C5%9EOFBEN%20HOOK%20SPR%C4%B0NG%20ELEKTR%C4%B0KL%C4%B0%2A%20%C3%BCr%C3%BCn%C3%BC%20hakk%C4%B1nda%20bilgi%20almak%20istiyorum.</v>
      </c>
    </row>
    <row r="296" spans="1:7" x14ac:dyDescent="0.25">
      <c r="A296" t="s">
        <v>175</v>
      </c>
      <c r="B296" s="1">
        <v>5000</v>
      </c>
      <c r="C296" t="s">
        <v>0</v>
      </c>
      <c r="D296" t="s">
        <v>868</v>
      </c>
      <c r="E296" t="s">
        <v>1400</v>
      </c>
      <c r="F296" t="s">
        <v>2470</v>
      </c>
      <c r="G296" t="str">
        <f t="shared" si="4"/>
        <v>https://wa.me/905425127759?text=%2A%C5%9EOFBEN%20SEM%20ELEGANCE%20ELEKTR%C4%B0KL%C4%B0%2A%20%C3%BCr%C3%BCn%C3%BC%20hakk%C4%B1nda%20bilgi%20almak%20istiyorum.</v>
      </c>
    </row>
    <row r="297" spans="1:7" x14ac:dyDescent="0.25">
      <c r="A297" t="s">
        <v>217</v>
      </c>
      <c r="B297" s="1">
        <v>0</v>
      </c>
      <c r="C297" t="s">
        <v>0</v>
      </c>
      <c r="D297" t="s">
        <v>868</v>
      </c>
      <c r="E297" t="s">
        <v>1400</v>
      </c>
      <c r="F297" t="s">
        <v>2471</v>
      </c>
      <c r="G297" t="str">
        <f t="shared" si="4"/>
        <v>https://wa.me/905425127759?text=%2A%C5%9EOFBEN%20YILDIRAY%20%20MUTFAK%20%C5%9EOFBEN%C4%B0%2A%20%C3%BCr%C3%BCn%C3%BC%20hakk%C4%B1nda%20bilgi%20almak%20istiyorum.</v>
      </c>
    </row>
    <row r="298" spans="1:7" x14ac:dyDescent="0.25">
      <c r="A298" t="s">
        <v>218</v>
      </c>
      <c r="B298" s="1">
        <v>0</v>
      </c>
      <c r="C298" t="s">
        <v>0</v>
      </c>
      <c r="D298" t="s">
        <v>868</v>
      </c>
      <c r="E298" t="s">
        <v>1400</v>
      </c>
      <c r="F298" t="s">
        <v>2472</v>
      </c>
      <c r="G298" t="str">
        <f t="shared" si="4"/>
        <v>https://wa.me/905425127759?text=%2A%C5%9EOFBEN%20YILDIRAY%20ELEKTR%C4%B0KL%C4%B0%20%C5%9EOFBEN%2A%20%C3%BCr%C3%BCn%C3%BC%20hakk%C4%B1nda%20bilgi%20almak%20istiyorum.</v>
      </c>
    </row>
    <row r="299" spans="1:7" x14ac:dyDescent="0.25">
      <c r="A299" t="s">
        <v>665</v>
      </c>
      <c r="B299" s="1">
        <v>0</v>
      </c>
      <c r="C299" t="s">
        <v>0</v>
      </c>
      <c r="D299" t="s">
        <v>868</v>
      </c>
      <c r="E299" t="s">
        <v>1400</v>
      </c>
      <c r="F299" t="s">
        <v>2384</v>
      </c>
      <c r="G299" t="str">
        <f t="shared" si="4"/>
        <v>https://wa.me/905425127759?text=%2A%C5%9EOFBEN%20YILDIRAY%20MUSLUK%20%C3%9CST%C3%9C%2A%20%C3%BCr%C3%BCn%C3%BC%20hakk%C4%B1nda%20bilgi%20almak%20istiyorum.</v>
      </c>
    </row>
    <row r="300" spans="1:7" x14ac:dyDescent="0.25">
      <c r="A300" t="s">
        <v>339</v>
      </c>
      <c r="B300" s="1">
        <v>1050</v>
      </c>
      <c r="C300" t="s">
        <v>0</v>
      </c>
      <c r="D300" t="s">
        <v>868</v>
      </c>
      <c r="E300" t="s">
        <v>1400</v>
      </c>
      <c r="F300" t="s">
        <v>1091</v>
      </c>
      <c r="G300" t="str">
        <f t="shared" si="4"/>
        <v>https://wa.me/905425127759?text=%2ATAR%C3%87IN%20HAMAK%2A%20%C3%BCr%C3%BCn%C3%BC%20hakk%C4%B1nda%20bilgi%20almak%20istiyorum.</v>
      </c>
    </row>
    <row r="301" spans="1:7" x14ac:dyDescent="0.25">
      <c r="A301" t="s">
        <v>642</v>
      </c>
      <c r="B301" s="1">
        <v>50000</v>
      </c>
      <c r="C301" t="s">
        <v>0</v>
      </c>
      <c r="D301" t="s">
        <v>868</v>
      </c>
      <c r="E301" t="s">
        <v>1400</v>
      </c>
      <c r="F301" t="s">
        <v>1103</v>
      </c>
      <c r="G301" t="str">
        <f t="shared" si="4"/>
        <v>https://wa.me/905425127759?text=%2ATELEV%C4%B0ZYON%20TELEFUNKEN%2055%22%2055TU7560UA%2A%20%C3%BCr%C3%BCn%C3%BC%20hakk%C4%B1nda%20bilgi%20almak%20istiyorum.</v>
      </c>
    </row>
    <row r="302" spans="1:7" x14ac:dyDescent="0.25">
      <c r="A302" t="s">
        <v>58</v>
      </c>
      <c r="B302" s="1">
        <v>0</v>
      </c>
      <c r="C302" t="s">
        <v>0</v>
      </c>
      <c r="D302" t="s">
        <v>868</v>
      </c>
      <c r="E302" t="s">
        <v>1400</v>
      </c>
      <c r="F302" t="s">
        <v>2473</v>
      </c>
      <c r="G302" t="str">
        <f t="shared" si="4"/>
        <v>https://wa.me/905425127759?text=%2ATERMOS%20COOKER%201%2C3%20LT%20RENKL%C4%B0%20CAM%2A%20%C3%BCr%C3%BCn%C3%BC%20hakk%C4%B1nda%20bilgi%20almak%20istiyorum.</v>
      </c>
    </row>
    <row r="303" spans="1:7" x14ac:dyDescent="0.25">
      <c r="A303" t="s">
        <v>4</v>
      </c>
      <c r="B303" s="1">
        <v>0</v>
      </c>
      <c r="C303" t="s">
        <v>0</v>
      </c>
      <c r="D303" t="s">
        <v>868</v>
      </c>
      <c r="E303" t="s">
        <v>1400</v>
      </c>
      <c r="F303" t="s">
        <v>925</v>
      </c>
      <c r="G303" t="str">
        <f t="shared" si="4"/>
        <v>https://wa.me/905425127759?text=%2ATOST%20MAK%C4%B0NES%C4%B0%20AKSU%20GRAN%C4%B0T%20GR%C4%B0LL%2A%20%C3%BCr%C3%BCn%C3%BC%20hakk%C4%B1nda%20bilgi%20almak%20istiyorum.</v>
      </c>
    </row>
    <row r="304" spans="1:7" x14ac:dyDescent="0.25">
      <c r="A304" t="s">
        <v>5</v>
      </c>
      <c r="B304" s="1">
        <v>0</v>
      </c>
      <c r="C304" t="s">
        <v>0</v>
      </c>
      <c r="D304" t="s">
        <v>868</v>
      </c>
      <c r="E304" t="s">
        <v>1400</v>
      </c>
      <c r="F304" t="s">
        <v>926</v>
      </c>
      <c r="G304" t="str">
        <f t="shared" si="4"/>
        <v>https://wa.me/905425127759?text=%2ATOST%20MAK%C4%B0NES%C4%B0%20AKSU%20GROSS%2A%20%C3%BCr%C3%BCn%C3%BC%20hakk%C4%B1nda%20bilgi%20almak%20istiyorum.</v>
      </c>
    </row>
    <row r="305" spans="1:7" x14ac:dyDescent="0.25">
      <c r="A305" t="s">
        <v>6</v>
      </c>
      <c r="B305" s="1">
        <v>4100</v>
      </c>
      <c r="C305" t="s">
        <v>0</v>
      </c>
      <c r="D305" t="s">
        <v>868</v>
      </c>
      <c r="E305" t="s">
        <v>1400</v>
      </c>
      <c r="F305" t="s">
        <v>927</v>
      </c>
      <c r="G305" t="str">
        <f t="shared" si="4"/>
        <v>https://wa.me/905425127759?text=%2ATOST%20MAK%C4%B0NES%C4%B0%20AKSU%20GUSTO%2A%20%C3%BCr%C3%BCn%C3%BC%20hakk%C4%B1nda%20bilgi%20almak%20istiyorum.</v>
      </c>
    </row>
    <row r="306" spans="1:7" x14ac:dyDescent="0.25">
      <c r="A306" t="s">
        <v>7</v>
      </c>
      <c r="B306" s="1">
        <v>0</v>
      </c>
      <c r="C306" t="s">
        <v>0</v>
      </c>
      <c r="D306" t="s">
        <v>868</v>
      </c>
      <c r="E306" t="s">
        <v>1400</v>
      </c>
      <c r="F306" t="s">
        <v>928</v>
      </c>
      <c r="G306" t="str">
        <f t="shared" si="4"/>
        <v>https://wa.me/905425127759?text=%2ATOST%20MAK%C4%B0NES%C4%B0%20AKSU%20KENGR%C4%B0LL%2A%20%C3%BCr%C3%BCn%C3%BC%20hakk%C4%B1nda%20bilgi%20almak%20istiyorum.</v>
      </c>
    </row>
    <row r="307" spans="1:7" x14ac:dyDescent="0.25">
      <c r="A307" t="s">
        <v>8</v>
      </c>
      <c r="B307" s="1">
        <v>5000</v>
      </c>
      <c r="C307" t="s">
        <v>0</v>
      </c>
      <c r="D307" t="s">
        <v>868</v>
      </c>
      <c r="E307" t="s">
        <v>1400</v>
      </c>
      <c r="F307" t="s">
        <v>929</v>
      </c>
      <c r="G307" t="str">
        <f t="shared" si="4"/>
        <v>https://wa.me/905425127759?text=%2ATOST%20MAK%C4%B0NES%C4%B0%20AKSU%20TOSTADOY%20GRAN%C4%B0T%2A%20%C3%BCr%C3%BCn%C3%BC%20hakk%C4%B1nda%20bilgi%20almak%20istiyorum.</v>
      </c>
    </row>
    <row r="308" spans="1:7" x14ac:dyDescent="0.25">
      <c r="A308" t="s">
        <v>681</v>
      </c>
      <c r="B308" s="1">
        <v>6000</v>
      </c>
      <c r="C308" t="s">
        <v>0</v>
      </c>
      <c r="D308" t="s">
        <v>868</v>
      </c>
      <c r="E308" t="s">
        <v>1400</v>
      </c>
      <c r="F308" t="s">
        <v>1118</v>
      </c>
      <c r="G308" t="str">
        <f t="shared" si="4"/>
        <v>https://wa.me/905425127759?text=%2ATOST%20MAK%C4%B0NES%C4%B0%20ARNEL%20D%C3%96K%C3%9CM%2A%20%C3%BCr%C3%BCn%C3%BC%20hakk%C4%B1nda%20bilgi%20almak%20istiyorum.</v>
      </c>
    </row>
    <row r="309" spans="1:7" x14ac:dyDescent="0.25">
      <c r="A309" t="s">
        <v>27</v>
      </c>
      <c r="B309" s="1">
        <v>0</v>
      </c>
      <c r="C309" t="s">
        <v>0</v>
      </c>
      <c r="D309" t="s">
        <v>868</v>
      </c>
      <c r="E309" t="s">
        <v>1400</v>
      </c>
      <c r="F309" t="s">
        <v>946</v>
      </c>
      <c r="G309" t="str">
        <f t="shared" si="4"/>
        <v>https://wa.me/905425127759?text=%2ATOST%20MAK%C4%B0NES%C4%B0%20ARN%C4%B0CA%20AYVALIK%2A%20%C3%BCr%C3%BCn%C3%BC%20hakk%C4%B1nda%20bilgi%20almak%20istiyorum.</v>
      </c>
    </row>
    <row r="310" spans="1:7" x14ac:dyDescent="0.25">
      <c r="A310" t="s">
        <v>47</v>
      </c>
      <c r="B310" s="1">
        <v>0</v>
      </c>
      <c r="C310" t="s">
        <v>0</v>
      </c>
      <c r="D310" t="s">
        <v>868</v>
      </c>
      <c r="E310" t="s">
        <v>1400</v>
      </c>
      <c r="F310" t="s">
        <v>2474</v>
      </c>
      <c r="G310" t="str">
        <f t="shared" si="4"/>
        <v>https://wa.me/905425127759?text=%2ATOST%20MAK%C4%B0NES%C4%B0%20AWOX%20-%20L%C4%B0DER%2A%20%C3%BCr%C3%BCn%C3%BC%20hakk%C4%B1nda%20bilgi%20almak%20istiyorum.</v>
      </c>
    </row>
    <row r="311" spans="1:7" x14ac:dyDescent="0.25">
      <c r="A311" t="s">
        <v>55</v>
      </c>
      <c r="B311" s="1">
        <v>4000</v>
      </c>
      <c r="C311" t="s">
        <v>0</v>
      </c>
      <c r="D311" t="s">
        <v>868</v>
      </c>
      <c r="E311" t="s">
        <v>1400</v>
      </c>
      <c r="F311" t="s">
        <v>2475</v>
      </c>
      <c r="G311" t="str">
        <f t="shared" si="4"/>
        <v>https://wa.me/905425127759?text=%2ATOST%20MAK%C4%B0NES%C4%B0%20CONT%C4%B0%20MAESTRO%20CG-210%2A%20%C3%BCr%C3%BCn%C3%BC%20hakk%C4%B1nda%20bilgi%20almak%20istiyorum.</v>
      </c>
    </row>
    <row r="312" spans="1:7" x14ac:dyDescent="0.25">
      <c r="A312" t="s">
        <v>772</v>
      </c>
      <c r="B312" s="1">
        <v>3300</v>
      </c>
      <c r="C312" t="s">
        <v>0</v>
      </c>
      <c r="D312" t="s">
        <v>868</v>
      </c>
      <c r="E312" t="s">
        <v>1400</v>
      </c>
      <c r="F312" t="s">
        <v>1120</v>
      </c>
      <c r="G312" t="str">
        <f t="shared" si="4"/>
        <v>https://wa.me/905425127759?text=%2ATOST%20MAK%C4%B0NES%C4%B0%20ESSENCE%2A%20%C3%BCr%C3%BCn%C3%BC%20hakk%C4%B1nda%20bilgi%20almak%20istiyorum.</v>
      </c>
    </row>
    <row r="313" spans="1:7" x14ac:dyDescent="0.25">
      <c r="A313" t="s">
        <v>123</v>
      </c>
      <c r="B313" s="1">
        <v>0</v>
      </c>
      <c r="C313" t="s">
        <v>0</v>
      </c>
      <c r="D313" t="s">
        <v>868</v>
      </c>
      <c r="E313" t="s">
        <v>1400</v>
      </c>
      <c r="F313" t="s">
        <v>2476</v>
      </c>
      <c r="G313" t="str">
        <f t="shared" si="4"/>
        <v>https://wa.me/905425127759?text=%2ATOST%20MAK%C4%B0NES%C4%B0%20L%C4%B0DER%20SAV%C4%B0O%20LT-15%2A%20%C3%BCr%C3%BCn%C3%BC%20hakk%C4%B1nda%20bilgi%20almak%20istiyorum.</v>
      </c>
    </row>
    <row r="314" spans="1:7" x14ac:dyDescent="0.25">
      <c r="A314" t="s">
        <v>181</v>
      </c>
      <c r="B314" s="1">
        <v>6000</v>
      </c>
      <c r="C314" t="s">
        <v>0</v>
      </c>
      <c r="D314" t="s">
        <v>868</v>
      </c>
      <c r="E314" t="s">
        <v>1400</v>
      </c>
      <c r="F314" t="s">
        <v>1076</v>
      </c>
      <c r="G314" t="str">
        <f t="shared" si="4"/>
        <v>https://wa.me/905425127759?text=%2ATOST%20MAK%C4%B0NES%C4%B0%20ST%C4%B0LEVS%20TOST%20X%2A%20%C3%BCr%C3%BCn%C3%BC%20hakk%C4%B1nda%20bilgi%20almak%20istiyorum.</v>
      </c>
    </row>
    <row r="315" spans="1:7" x14ac:dyDescent="0.25">
      <c r="A315" t="s">
        <v>163</v>
      </c>
      <c r="B315" s="1">
        <v>350</v>
      </c>
      <c r="C315" t="s">
        <v>0</v>
      </c>
      <c r="D315" t="s">
        <v>868</v>
      </c>
      <c r="E315" t="s">
        <v>1400</v>
      </c>
      <c r="F315" t="s">
        <v>2477</v>
      </c>
      <c r="G315" t="str">
        <f t="shared" si="4"/>
        <v>https://wa.me/905425127759?text=%2ATRA%C5%9E%20MAK%C4%B0NES%C4%B0%20POWERTECH%2A%20%C3%BCr%C3%BCn%C3%BC%20hakk%C4%B1nda%20bilgi%20almak%20istiyorum.</v>
      </c>
    </row>
    <row r="316" spans="1:7" x14ac:dyDescent="0.25">
      <c r="A316" t="s">
        <v>207</v>
      </c>
      <c r="B316" s="1">
        <v>19000</v>
      </c>
      <c r="C316" t="s">
        <v>0</v>
      </c>
      <c r="D316" t="s">
        <v>868</v>
      </c>
      <c r="E316" t="s">
        <v>1400</v>
      </c>
      <c r="F316" t="s">
        <v>1078</v>
      </c>
      <c r="G316" t="str">
        <f t="shared" si="4"/>
        <v>https://wa.me/905425127759?text=%2ATROYA%20TR519%20HAVA%20SO%C4%9EUTUCU%20MOB%C4%B0L%20KL%C4%B0MA%2A%20%C3%BCr%C3%BCn%C3%BC%20hakk%C4%B1nda%20bilgi%20almak%20istiyorum.</v>
      </c>
    </row>
    <row r="317" spans="1:7" x14ac:dyDescent="0.25">
      <c r="A317" t="s">
        <v>209</v>
      </c>
      <c r="B317" s="1">
        <v>600</v>
      </c>
      <c r="C317" t="s">
        <v>0</v>
      </c>
      <c r="D317" t="s">
        <v>868</v>
      </c>
      <c r="E317" t="s">
        <v>1400</v>
      </c>
      <c r="F317" t="s">
        <v>1080</v>
      </c>
      <c r="G317" t="str">
        <f t="shared" si="4"/>
        <v>https://wa.me/905425127759?text=%2AUFO%20AYA%C4%9EI%20METAL%20%2A%20%C3%BCr%C3%BCn%C3%BC%20hakk%C4%B1nda%20bilgi%20almak%20istiyorum.</v>
      </c>
    </row>
    <row r="318" spans="1:7" x14ac:dyDescent="0.25">
      <c r="A318" t="s">
        <v>210</v>
      </c>
      <c r="B318" s="1">
        <v>700</v>
      </c>
      <c r="C318" t="s">
        <v>0</v>
      </c>
      <c r="D318" t="s">
        <v>868</v>
      </c>
      <c r="E318" t="s">
        <v>1400</v>
      </c>
      <c r="F318" t="s">
        <v>1081</v>
      </c>
      <c r="G318" t="str">
        <f t="shared" si="4"/>
        <v>https://wa.me/905425127759?text=%2AUFO%20AYA%C4%9EI%20TELESKOP%C4%B0K%2A%20%C3%BCr%C3%BCn%C3%BC%20hakk%C4%B1nda%20bilgi%20almak%20istiyorum.</v>
      </c>
    </row>
    <row r="319" spans="1:7" x14ac:dyDescent="0.25">
      <c r="A319" t="s">
        <v>208</v>
      </c>
      <c r="B319" s="1">
        <v>500</v>
      </c>
      <c r="C319" t="s">
        <v>0</v>
      </c>
      <c r="D319" t="s">
        <v>868</v>
      </c>
      <c r="E319" t="s">
        <v>1400</v>
      </c>
      <c r="F319" t="s">
        <v>1079</v>
      </c>
      <c r="G319" t="str">
        <f t="shared" si="4"/>
        <v>https://wa.me/905425127759?text=%2AUFO%20AYAK%20AL%C4%B0M%C4%B0NYUM%2A%20%C3%BCr%C3%BCn%C3%BC%20hakk%C4%B1nda%20bilgi%20almak%20istiyorum.</v>
      </c>
    </row>
    <row r="320" spans="1:7" x14ac:dyDescent="0.25">
      <c r="A320" t="s">
        <v>59</v>
      </c>
      <c r="B320" s="1">
        <v>2000</v>
      </c>
      <c r="C320" t="s">
        <v>0</v>
      </c>
      <c r="D320" t="s">
        <v>868</v>
      </c>
      <c r="E320" t="s">
        <v>1400</v>
      </c>
      <c r="F320" t="s">
        <v>974</v>
      </c>
      <c r="G320" t="str">
        <f t="shared" si="4"/>
        <v>https://wa.me/905425127759?text=%2AUFO%20CVS%20%282500W%29%2A%20%C3%BCr%C3%BCn%C3%BC%20hakk%C4%B1nda%20bilgi%20almak%20istiyorum.</v>
      </c>
    </row>
    <row r="321" spans="1:7" x14ac:dyDescent="0.25">
      <c r="A321" t="s">
        <v>201</v>
      </c>
      <c r="B321" s="1">
        <v>0</v>
      </c>
      <c r="C321" t="s">
        <v>0</v>
      </c>
      <c r="D321" t="s">
        <v>868</v>
      </c>
      <c r="E321" t="s">
        <v>1400</v>
      </c>
      <c r="F321" t="s">
        <v>2478</v>
      </c>
      <c r="G321" t="str">
        <f t="shared" ref="G321:G384" si="5">"https://wa.me/905425127759?text=" &amp; _xlfn.ENCODEURL("*" &amp; A321 &amp; "* ürünü hakkında bilgi almak istiyorum.")</f>
        <v>https://wa.me/905425127759?text=%2AUFO%20D%C4%B0KEY%20%C5%9EAMDAN%204005%20%282200W%29%2A%20%C3%BCr%C3%BCn%C3%BC%20hakk%C4%B1nda%20bilgi%20almak%20istiyorum.</v>
      </c>
    </row>
    <row r="322" spans="1:7" x14ac:dyDescent="0.25">
      <c r="A322" t="s">
        <v>103</v>
      </c>
      <c r="B322" s="1">
        <v>3200</v>
      </c>
      <c r="C322" t="s">
        <v>0</v>
      </c>
      <c r="D322" t="s">
        <v>868</v>
      </c>
      <c r="E322" t="s">
        <v>1400</v>
      </c>
      <c r="F322" t="s">
        <v>1016</v>
      </c>
      <c r="G322" t="str">
        <f t="shared" si="5"/>
        <v>https://wa.me/905425127759?text=%2AUFO%20HOOK%20BLAZE%20D%C4%B0K%2A%20%C3%BCr%C3%BCn%C3%BC%20hakk%C4%B1nda%20bilgi%20almak%20istiyorum.</v>
      </c>
    </row>
    <row r="323" spans="1:7" x14ac:dyDescent="0.25">
      <c r="A323" t="s">
        <v>132</v>
      </c>
      <c r="B323" s="1">
        <v>2000</v>
      </c>
      <c r="C323" t="s">
        <v>0</v>
      </c>
      <c r="D323" t="s">
        <v>868</v>
      </c>
      <c r="E323" t="s">
        <v>1400</v>
      </c>
      <c r="F323" t="s">
        <v>1038</v>
      </c>
      <c r="G323" t="str">
        <f t="shared" si="5"/>
        <v>https://wa.me/905425127759?text=%2AUFO%20M%C4%B0N%C4%B0SAN%202000W%20UFO%2A%20%C3%BCr%C3%BCn%C3%BC%20hakk%C4%B1nda%20bilgi%20almak%20istiyorum.</v>
      </c>
    </row>
    <row r="324" spans="1:7" x14ac:dyDescent="0.25">
      <c r="A324" t="s">
        <v>135</v>
      </c>
      <c r="B324" s="1">
        <v>2500</v>
      </c>
      <c r="C324" t="s">
        <v>0</v>
      </c>
      <c r="D324" t="s">
        <v>868</v>
      </c>
      <c r="E324" t="s">
        <v>1400</v>
      </c>
      <c r="F324" t="s">
        <v>1039</v>
      </c>
      <c r="G324" t="str">
        <f t="shared" si="5"/>
        <v>https://wa.me/905425127759?text=%2AUFO%20M%C4%B0N%C4%B0SAN%202600W%2A%20%C3%BCr%C3%BCn%C3%BC%20hakk%C4%B1nda%20bilgi%20almak%20istiyorum.</v>
      </c>
    </row>
    <row r="325" spans="1:7" x14ac:dyDescent="0.25">
      <c r="A325" t="s">
        <v>137</v>
      </c>
      <c r="B325" s="1">
        <v>2700</v>
      </c>
      <c r="C325" t="s">
        <v>0</v>
      </c>
      <c r="D325" t="s">
        <v>868</v>
      </c>
      <c r="E325" t="s">
        <v>1400</v>
      </c>
      <c r="F325" t="s">
        <v>1041</v>
      </c>
      <c r="G325" t="str">
        <f t="shared" si="5"/>
        <v>https://wa.me/905425127759?text=%2AUFO%20M%C4%B0N%C4%B0SAN%203000W%2A%20%C3%BCr%C3%BCn%C3%BC%20hakk%C4%B1nda%20bilgi%20almak%20istiyorum.</v>
      </c>
    </row>
    <row r="326" spans="1:7" x14ac:dyDescent="0.25">
      <c r="A326" t="s">
        <v>144</v>
      </c>
      <c r="B326" s="1">
        <v>2900</v>
      </c>
      <c r="C326" t="s">
        <v>0</v>
      </c>
      <c r="D326" t="s">
        <v>868</v>
      </c>
      <c r="E326" t="s">
        <v>1400</v>
      </c>
      <c r="F326" t="s">
        <v>1043</v>
      </c>
      <c r="G326" t="str">
        <f t="shared" si="5"/>
        <v>https://wa.me/905425127759?text=%2AUFO%20M%C4%B0N%C4%B0SAN%20AR%202002%202900W%20%C3%87%C4%B0FT%20FLEMENTL%C4%B0%2A%20%C3%BCr%C3%BCn%C3%BC%20hakk%C4%B1nda%20bilgi%20almak%20istiyorum.</v>
      </c>
    </row>
    <row r="327" spans="1:7" x14ac:dyDescent="0.25">
      <c r="A327" t="s">
        <v>145</v>
      </c>
      <c r="B327" s="1">
        <v>2900</v>
      </c>
      <c r="C327" t="s">
        <v>0</v>
      </c>
      <c r="D327" t="s">
        <v>868</v>
      </c>
      <c r="E327" t="s">
        <v>1400</v>
      </c>
      <c r="F327" t="s">
        <v>1044</v>
      </c>
      <c r="G327" t="str">
        <f t="shared" si="5"/>
        <v>https://wa.me/905425127759?text=%2AUFO%20M%C4%B0N%C4%B0SAN%20AR%203000W%20%C3%87%C4%B0FT%20FLEMENTL%C4%B0%2A%20%C3%BCr%C3%BCn%C3%BC%20hakk%C4%B1nda%20bilgi%20almak%20istiyorum.</v>
      </c>
    </row>
    <row r="328" spans="1:7" x14ac:dyDescent="0.25">
      <c r="A328" t="s">
        <v>194</v>
      </c>
      <c r="B328" s="1">
        <v>2700</v>
      </c>
      <c r="C328" t="s">
        <v>0</v>
      </c>
      <c r="D328" t="s">
        <v>868</v>
      </c>
      <c r="E328" t="s">
        <v>1400</v>
      </c>
      <c r="F328" t="s">
        <v>2385</v>
      </c>
      <c r="G328" t="str">
        <f t="shared" si="5"/>
        <v>https://wa.me/905425127759?text=%2AUFO%20%C5%9EAMDAN%204001%20%283000%20W%29%2A%20%C3%BCr%C3%BCn%C3%BC%20hakk%C4%B1nda%20bilgi%20almak%20istiyorum.</v>
      </c>
    </row>
    <row r="329" spans="1:7" x14ac:dyDescent="0.25">
      <c r="A329" t="s">
        <v>205</v>
      </c>
      <c r="B329" s="1">
        <v>2600</v>
      </c>
      <c r="C329" t="s">
        <v>0</v>
      </c>
      <c r="D329" t="s">
        <v>868</v>
      </c>
      <c r="E329" t="s">
        <v>1400</v>
      </c>
      <c r="F329" t="s">
        <v>2386</v>
      </c>
      <c r="G329" t="str">
        <f t="shared" si="5"/>
        <v>https://wa.me/905425127759?text=%2AUFO%20%C5%9EAMDAN%204003%20%282200W%29%2A%20%C3%BCr%C3%BCn%C3%BC%20hakk%C4%B1nda%20bilgi%20almak%20istiyorum.</v>
      </c>
    </row>
    <row r="330" spans="1:7" x14ac:dyDescent="0.25">
      <c r="A330" t="s">
        <v>791</v>
      </c>
      <c r="B330" s="1">
        <v>0</v>
      </c>
      <c r="C330" t="s">
        <v>0</v>
      </c>
      <c r="D330" t="s">
        <v>868</v>
      </c>
      <c r="E330" t="s">
        <v>1400</v>
      </c>
      <c r="F330" t="s">
        <v>1129</v>
      </c>
      <c r="G330" t="str">
        <f t="shared" si="5"/>
        <v>https://wa.me/905425127759?text=%2AUFO%20U%C4%9EUR%20M%C4%B0KATRON%C4%B0K%20ISISTICI%202000W%2A%20%C3%BCr%C3%BCn%C3%BC%20hakk%C4%B1nda%20bilgi%20almak%20istiyorum.</v>
      </c>
    </row>
    <row r="331" spans="1:7" x14ac:dyDescent="0.25">
      <c r="A331" t="s">
        <v>782</v>
      </c>
      <c r="B331" s="1">
        <v>0</v>
      </c>
      <c r="C331" t="s">
        <v>0</v>
      </c>
      <c r="D331" t="s">
        <v>868</v>
      </c>
      <c r="E331" t="s">
        <v>1400</v>
      </c>
      <c r="F331" t="s">
        <v>1124</v>
      </c>
      <c r="G331" t="str">
        <f t="shared" si="5"/>
        <v>https://wa.me/905425127759?text=%2A%C3%9CT%C3%9C%20CVS%20RANGER%2A%20%C3%BCr%C3%BCn%C3%BC%20hakk%C4%B1nda%20bilgi%20almak%20istiyorum.</v>
      </c>
    </row>
    <row r="332" spans="1:7" x14ac:dyDescent="0.25">
      <c r="A332" t="s">
        <v>84</v>
      </c>
      <c r="B332" s="1">
        <v>5400</v>
      </c>
      <c r="C332" t="s">
        <v>0</v>
      </c>
      <c r="D332" t="s">
        <v>868</v>
      </c>
      <c r="E332" t="s">
        <v>1400</v>
      </c>
      <c r="F332" t="s">
        <v>1000</v>
      </c>
      <c r="G332" t="str">
        <f t="shared" si="5"/>
        <v>https://wa.me/905425127759?text=%2A%C3%9CT%C3%9C%20FAK%C4%B0R%20FLYJET%2A%20%C3%BCr%C3%BCn%C3%BC%20hakk%C4%B1nda%20bilgi%20almak%20istiyorum.</v>
      </c>
    </row>
    <row r="333" spans="1:7" x14ac:dyDescent="0.25">
      <c r="A333" t="s">
        <v>85</v>
      </c>
      <c r="B333" s="1">
        <v>5000</v>
      </c>
      <c r="C333" t="s">
        <v>0</v>
      </c>
      <c r="D333" t="s">
        <v>868</v>
      </c>
      <c r="E333" t="s">
        <v>1400</v>
      </c>
      <c r="F333" t="s">
        <v>1001</v>
      </c>
      <c r="G333" t="str">
        <f t="shared" si="5"/>
        <v>https://wa.me/905425127759?text=%2A%C3%9CT%C3%9C%20FAK%C4%B0R%20GALAX%C4%B0S%202200W%2A%20%C3%BCr%C3%BCn%C3%BC%20hakk%C4%B1nda%20bilgi%20almak%20istiyorum.</v>
      </c>
    </row>
    <row r="334" spans="1:7" x14ac:dyDescent="0.25">
      <c r="A334" t="s">
        <v>783</v>
      </c>
      <c r="B334" s="1">
        <v>5100</v>
      </c>
      <c r="C334" t="s">
        <v>0</v>
      </c>
      <c r="D334" t="s">
        <v>868</v>
      </c>
      <c r="E334" t="s">
        <v>1400</v>
      </c>
      <c r="F334" t="s">
        <v>1125</v>
      </c>
      <c r="G334" t="str">
        <f t="shared" si="5"/>
        <v>https://wa.me/905425127759?text=%2A%C3%9CT%C3%9C%20FAK%C4%B0R%20SKYGO%2A%20%C3%BCr%C3%BCn%C3%BC%20hakk%C4%B1nda%20bilgi%20almak%20istiyorum.</v>
      </c>
    </row>
    <row r="335" spans="1:7" x14ac:dyDescent="0.25">
      <c r="A335" t="s">
        <v>86</v>
      </c>
      <c r="B335" s="1">
        <v>4500</v>
      </c>
      <c r="C335" t="s">
        <v>0</v>
      </c>
      <c r="D335" t="s">
        <v>868</v>
      </c>
      <c r="E335" t="s">
        <v>1400</v>
      </c>
      <c r="F335" t="s">
        <v>1002</v>
      </c>
      <c r="G335" t="str">
        <f t="shared" si="5"/>
        <v>https://wa.me/905425127759?text=%2A%C3%9CT%C3%9C%20FAK%C4%B0R%20SPR%C4%B0NG%20G%C3%9CL%20KURUSU%2A%20%C3%BCr%C3%BCn%C3%BC%20hakk%C4%B1nda%20bilgi%20almak%20istiyorum.</v>
      </c>
    </row>
    <row r="336" spans="1:7" x14ac:dyDescent="0.25">
      <c r="A336" t="s">
        <v>87</v>
      </c>
      <c r="B336" s="1">
        <v>10500</v>
      </c>
      <c r="C336" t="s">
        <v>0</v>
      </c>
      <c r="D336" t="s">
        <v>868</v>
      </c>
      <c r="E336" t="s">
        <v>1400</v>
      </c>
      <c r="F336" t="s">
        <v>1003</v>
      </c>
      <c r="G336" t="str">
        <f t="shared" si="5"/>
        <v>https://wa.me/905425127759?text=%2A%C3%9CT%C3%9C%20FAK%C4%B0R%20VETACARE%20BUHAR%20JENARAT%C3%96RL%C3%9C%2A%20%C3%BCr%C3%BCn%C3%BC%20hakk%C4%B1nda%20bilgi%20almak%20istiyorum.</v>
      </c>
    </row>
    <row r="337" spans="1:7" x14ac:dyDescent="0.25">
      <c r="A337" t="s">
        <v>99</v>
      </c>
      <c r="B337" s="1">
        <v>2900</v>
      </c>
      <c r="C337" t="s">
        <v>0</v>
      </c>
      <c r="D337" t="s">
        <v>868</v>
      </c>
      <c r="E337" t="s">
        <v>1400</v>
      </c>
      <c r="F337" t="s">
        <v>1011</v>
      </c>
      <c r="G337" t="str">
        <f t="shared" si="5"/>
        <v>https://wa.me/905425127759?text=%2A%C3%9CT%C3%9C%20GOLDMASTER%207613%20MAX%C4%B0PRESS%2A%20%C3%BCr%C3%BCn%C3%BC%20hakk%C4%B1nda%20bilgi%20almak%20istiyorum.</v>
      </c>
    </row>
    <row r="338" spans="1:7" x14ac:dyDescent="0.25">
      <c r="A338" t="s">
        <v>100</v>
      </c>
      <c r="B338" s="1">
        <v>3300</v>
      </c>
      <c r="C338" t="s">
        <v>0</v>
      </c>
      <c r="D338" t="s">
        <v>868</v>
      </c>
      <c r="E338" t="s">
        <v>1400</v>
      </c>
      <c r="F338" t="s">
        <v>1012</v>
      </c>
      <c r="G338" t="str">
        <f t="shared" si="5"/>
        <v>https://wa.me/905425127759?text=%2A%C3%9CT%C3%9C%20GOLDMASTER%207615%20VALS%2A%20%C3%BCr%C3%BCn%C3%BC%20hakk%C4%B1nda%20bilgi%20almak%20istiyorum.</v>
      </c>
    </row>
    <row r="339" spans="1:7" x14ac:dyDescent="0.25">
      <c r="A339" t="s">
        <v>101</v>
      </c>
      <c r="B339" s="1">
        <v>3600</v>
      </c>
      <c r="C339" t="s">
        <v>0</v>
      </c>
      <c r="D339" t="s">
        <v>868</v>
      </c>
      <c r="E339" t="s">
        <v>1400</v>
      </c>
      <c r="F339" t="s">
        <v>1013</v>
      </c>
      <c r="G339" t="str">
        <f t="shared" si="5"/>
        <v>https://wa.me/905425127759?text=%2A%C3%9CT%C3%9C%20GOLDMASTER%207618%20A%C4%B0RJET%2A%20%C3%BCr%C3%BCn%C3%BC%20hakk%C4%B1nda%20bilgi%20almak%20istiyorum.</v>
      </c>
    </row>
    <row r="340" spans="1:7" x14ac:dyDescent="0.25">
      <c r="A340" t="s">
        <v>215</v>
      </c>
      <c r="B340" s="1">
        <v>3200</v>
      </c>
      <c r="C340" t="s">
        <v>0</v>
      </c>
      <c r="D340" t="s">
        <v>868</v>
      </c>
      <c r="E340" t="s">
        <v>1400</v>
      </c>
      <c r="F340" t="s">
        <v>1086</v>
      </c>
      <c r="G340" t="str">
        <f t="shared" si="5"/>
        <v>https://wa.me/905425127759?text=%2A%C3%9CT%C3%9C%20MASASI%20DA%C4%B0LMOND%20DEN%C4%B0Z%2A%20%C3%BCr%C3%BCn%C3%BC%20hakk%C4%B1nda%20bilgi%20almak%20istiyorum.</v>
      </c>
    </row>
    <row r="341" spans="1:7" x14ac:dyDescent="0.25">
      <c r="A341" t="s">
        <v>216</v>
      </c>
      <c r="B341" s="1">
        <v>3700</v>
      </c>
      <c r="C341" t="s">
        <v>0</v>
      </c>
      <c r="D341" t="s">
        <v>868</v>
      </c>
      <c r="E341" t="s">
        <v>1400</v>
      </c>
      <c r="F341" t="s">
        <v>1087</v>
      </c>
      <c r="G341" t="str">
        <f t="shared" si="5"/>
        <v>https://wa.me/905425127759?text=%2A%C3%9CT%C3%9C%20MASASI%20DA%C4%B0LMOND%20EM%C4%B0R%2A%20%C3%BCr%C3%BCn%C3%BC%20hakk%C4%B1nda%20bilgi%20almak%20istiyorum.</v>
      </c>
    </row>
    <row r="342" spans="1:7" x14ac:dyDescent="0.25">
      <c r="A342" t="s">
        <v>157</v>
      </c>
      <c r="B342" s="1">
        <v>6700</v>
      </c>
      <c r="C342" t="s">
        <v>0</v>
      </c>
      <c r="D342" t="s">
        <v>868</v>
      </c>
      <c r="E342" t="s">
        <v>1400</v>
      </c>
      <c r="F342" t="s">
        <v>1053</v>
      </c>
      <c r="G342" t="str">
        <f t="shared" si="5"/>
        <v>https://wa.me/905425127759?text=%2A%C3%9CT%C3%9C%20PH%C4%B0L%C4%B0PS%20AZUR%202800W%2A%20%C3%BCr%C3%BCn%C3%BC%20hakk%C4%B1nda%20bilgi%20almak%20istiyorum.</v>
      </c>
    </row>
    <row r="343" spans="1:7" x14ac:dyDescent="0.25">
      <c r="A343" t="s">
        <v>159</v>
      </c>
      <c r="B343" s="1">
        <v>15200</v>
      </c>
      <c r="C343" t="s">
        <v>0</v>
      </c>
      <c r="D343" t="s">
        <v>868</v>
      </c>
      <c r="E343" t="s">
        <v>1400</v>
      </c>
      <c r="F343" t="s">
        <v>1055</v>
      </c>
      <c r="G343" t="str">
        <f t="shared" si="5"/>
        <v>https://wa.me/905425127759?text=%2A%C3%9CT%C3%9C%20PH%C4%B0L%C4%B0PS%20ESSENT%C4%B0AL%20BUHAR%20KAZANLI%2A%20%C3%BCr%C3%BCn%C3%BC%20hakk%C4%B1nda%20bilgi%20almak%20istiyorum.</v>
      </c>
    </row>
    <row r="344" spans="1:7" x14ac:dyDescent="0.25">
      <c r="A344" t="s">
        <v>160</v>
      </c>
      <c r="B344" s="1">
        <v>5700</v>
      </c>
      <c r="C344" t="s">
        <v>0</v>
      </c>
      <c r="D344" t="s">
        <v>868</v>
      </c>
      <c r="E344" t="s">
        <v>1400</v>
      </c>
      <c r="F344" t="s">
        <v>2479</v>
      </c>
      <c r="G344" t="str">
        <f t="shared" si="5"/>
        <v>https://wa.me/905425127759?text=%2A%C3%9CT%C3%9C%20PH%C4%B0L%C4%B0PS%20S.GL%C4%B0DE%20DST%205030%202500W%2A%20%C3%BCr%C3%BCn%C3%BC%20hakk%C4%B1nda%20bilgi%20almak%20istiyorum.</v>
      </c>
    </row>
    <row r="345" spans="1:7" x14ac:dyDescent="0.25">
      <c r="A345" t="s">
        <v>178</v>
      </c>
      <c r="B345" s="1">
        <v>5200</v>
      </c>
      <c r="C345" t="s">
        <v>0</v>
      </c>
      <c r="D345" t="s">
        <v>868</v>
      </c>
      <c r="E345" t="s">
        <v>1400</v>
      </c>
      <c r="F345" t="s">
        <v>1073</v>
      </c>
      <c r="G345" t="str">
        <f t="shared" si="5"/>
        <v>https://wa.me/905425127759?text=%2A%C3%9CT%C3%9C%20ST%C4%B0LEVS%20JETTMAX%20NANO%20SERAM%C4%B0K%20L%C4%B0LA%2A%20%C3%BCr%C3%BCn%C3%BC%20hakk%C4%B1nda%20bilgi%20almak%20istiyorum.</v>
      </c>
    </row>
    <row r="346" spans="1:7" x14ac:dyDescent="0.25">
      <c r="A346" t="s">
        <v>206</v>
      </c>
      <c r="B346" s="1">
        <v>7000</v>
      </c>
      <c r="C346" t="s">
        <v>0</v>
      </c>
      <c r="D346" t="s">
        <v>868</v>
      </c>
      <c r="E346" t="s">
        <v>1400</v>
      </c>
      <c r="F346" t="s">
        <v>1077</v>
      </c>
      <c r="G346" t="str">
        <f t="shared" si="5"/>
        <v>https://wa.me/905425127759?text=%2A%C3%9CT%C3%9C%20TEFAL%20EASYGL%C4%B0SS%20PLUS%202700W%205770%2A%20%C3%BCr%C3%BCn%C3%BC%20hakk%C4%B1nda%20bilgi%20almak%20istiyorum.</v>
      </c>
    </row>
    <row r="347" spans="1:7" x14ac:dyDescent="0.25">
      <c r="A347" t="s">
        <v>9</v>
      </c>
      <c r="B347" s="1">
        <v>3800</v>
      </c>
      <c r="C347" t="s">
        <v>0</v>
      </c>
      <c r="D347" t="s">
        <v>868</v>
      </c>
      <c r="E347" t="s">
        <v>1400</v>
      </c>
      <c r="F347" t="s">
        <v>930</v>
      </c>
      <c r="G347" t="str">
        <f t="shared" si="5"/>
        <v>https://wa.me/905425127759?text=%2AWAFFLE%20MAK%C4%B0NES%C4%B0%20AKSU%2A%20%C3%BCr%C3%BCn%C3%BC%20hakk%C4%B1nda%20bilgi%20almak%20istiyorum.</v>
      </c>
    </row>
    <row r="348" spans="1:7" x14ac:dyDescent="0.25">
      <c r="A348" t="s">
        <v>125</v>
      </c>
      <c r="B348" s="1">
        <v>12000</v>
      </c>
      <c r="C348" t="s">
        <v>0</v>
      </c>
      <c r="D348" t="s">
        <v>868</v>
      </c>
      <c r="E348" t="s">
        <v>1400</v>
      </c>
      <c r="F348" t="s">
        <v>1034</v>
      </c>
      <c r="G348" t="str">
        <f t="shared" si="5"/>
        <v>https://wa.me/905425127759?text=%2AYA%C4%9ELI%20RADYAT%C3%96R%20MARSSTAR%2011%20D%C4%B0L%C4%B0M%20FANLI%2A%20%C3%BCr%C3%BCn%C3%BC%20hakk%C4%B1nda%20bilgi%20almak%20istiyorum.</v>
      </c>
    </row>
    <row r="349" spans="1:7" x14ac:dyDescent="0.25">
      <c r="A349" t="s">
        <v>130</v>
      </c>
      <c r="B349" s="1">
        <v>6200</v>
      </c>
      <c r="C349" t="s">
        <v>0</v>
      </c>
      <c r="D349" t="s">
        <v>868</v>
      </c>
      <c r="E349" t="s">
        <v>1400</v>
      </c>
      <c r="F349" t="s">
        <v>2519</v>
      </c>
      <c r="G349" t="str">
        <f t="shared" si="5"/>
        <v>https://wa.me/905425127759?text=%2AYAYIK%20M%C4%B0N%C4%B0SAN%2010%20LT%20KAYMAK%C3%87I%2A%20%C3%BCr%C3%BCn%C3%BC%20hakk%C4%B1nda%20bilgi%20almak%20istiyorum.</v>
      </c>
    </row>
    <row r="350" spans="1:7" x14ac:dyDescent="0.25">
      <c r="A350" t="s">
        <v>131</v>
      </c>
      <c r="B350" s="1">
        <v>6500</v>
      </c>
      <c r="C350" t="s">
        <v>0</v>
      </c>
      <c r="D350" t="s">
        <v>868</v>
      </c>
      <c r="E350" t="s">
        <v>1400</v>
      </c>
      <c r="F350" t="s">
        <v>2520</v>
      </c>
      <c r="G350" t="str">
        <f t="shared" si="5"/>
        <v>https://wa.me/905425127759?text=%2AYAYIK%20M%C4%B0N%C4%B0SAN%2015%20LT%20YUVARLAK%2A%20%C3%BCr%C3%BCn%C3%BC%20hakk%C4%B1nda%20bilgi%20almak%20istiyorum.</v>
      </c>
    </row>
    <row r="351" spans="1:7" x14ac:dyDescent="0.25">
      <c r="A351" t="s">
        <v>131</v>
      </c>
      <c r="B351" s="1">
        <v>6500</v>
      </c>
      <c r="C351" t="s">
        <v>0</v>
      </c>
      <c r="D351" t="s">
        <v>868</v>
      </c>
      <c r="E351" t="s">
        <v>1400</v>
      </c>
      <c r="F351" t="s">
        <v>2520</v>
      </c>
      <c r="G351" t="str">
        <f t="shared" si="5"/>
        <v>https://wa.me/905425127759?text=%2AYAYIK%20M%C4%B0N%C4%B0SAN%2015%20LT%20YUVARLAK%2A%20%C3%BCr%C3%BCn%C3%BC%20hakk%C4%B1nda%20bilgi%20almak%20istiyorum.</v>
      </c>
    </row>
    <row r="352" spans="1:7" x14ac:dyDescent="0.25">
      <c r="A352" t="s">
        <v>134</v>
      </c>
      <c r="B352" s="1">
        <v>6600</v>
      </c>
      <c r="C352" t="s">
        <v>0</v>
      </c>
      <c r="D352" t="s">
        <v>868</v>
      </c>
      <c r="E352" t="s">
        <v>1400</v>
      </c>
      <c r="F352" t="s">
        <v>2521</v>
      </c>
      <c r="G352" t="str">
        <f t="shared" si="5"/>
        <v>https://wa.me/905425127759?text=%2AYAYIK%20M%C4%B0N%C4%B0SAN%2025%20LT%20YUVARLAK%2A%20%C3%BCr%C3%BCn%C3%BC%20hakk%C4%B1nda%20bilgi%20almak%20istiyorum.</v>
      </c>
    </row>
    <row r="353" spans="1:7" x14ac:dyDescent="0.25">
      <c r="A353" t="s">
        <v>138</v>
      </c>
      <c r="B353" s="1">
        <v>7100</v>
      </c>
      <c r="C353" t="s">
        <v>0</v>
      </c>
      <c r="D353" t="s">
        <v>868</v>
      </c>
      <c r="E353" t="s">
        <v>1400</v>
      </c>
      <c r="F353" t="s">
        <v>2522</v>
      </c>
      <c r="G353" t="str">
        <f t="shared" si="5"/>
        <v>https://wa.me/905425127759?text=%2AYAYIK%20M%C4%B0N%C4%B0SAN%2037%20LT%20YUVARLAK%2A%20%C3%BCr%C3%BCn%C3%BC%20hakk%C4%B1nda%20bilgi%20almak%20istiyorum.</v>
      </c>
    </row>
    <row r="354" spans="1:7" x14ac:dyDescent="0.25">
      <c r="A354" t="s">
        <v>139</v>
      </c>
      <c r="B354" s="1">
        <v>7300</v>
      </c>
      <c r="C354" t="s">
        <v>0</v>
      </c>
      <c r="D354" t="s">
        <v>868</v>
      </c>
      <c r="E354" t="s">
        <v>1400</v>
      </c>
      <c r="F354" t="s">
        <v>2523</v>
      </c>
      <c r="G354" t="str">
        <f t="shared" si="5"/>
        <v>https://wa.me/905425127759?text=%2AYAYIK%20M%C4%B0N%C4%B0SAN%2040%20LT%20YUVARLAK%2A%20%C3%BCr%C3%BCn%C3%BC%20hakk%C4%B1nda%20bilgi%20almak%20istiyorum.</v>
      </c>
    </row>
    <row r="355" spans="1:7" x14ac:dyDescent="0.25">
      <c r="A355" t="s">
        <v>140</v>
      </c>
      <c r="B355" s="1">
        <v>7400</v>
      </c>
      <c r="C355" t="s">
        <v>0</v>
      </c>
      <c r="D355" t="s">
        <v>868</v>
      </c>
      <c r="E355" t="s">
        <v>1400</v>
      </c>
      <c r="F355" t="s">
        <v>2524</v>
      </c>
      <c r="G355" t="str">
        <f t="shared" si="5"/>
        <v>https://wa.me/905425127759?text=%2AYAYIK%20M%C4%B0N%C4%B0SAN%2045%20LT%20YUVARLAK%2A%20%C3%BCr%C3%BCn%C3%BC%20hakk%C4%B1nda%20bilgi%20almak%20istiyorum.</v>
      </c>
    </row>
    <row r="356" spans="1:7" x14ac:dyDescent="0.25">
      <c r="A356" t="s">
        <v>141</v>
      </c>
      <c r="B356" s="1">
        <v>8200</v>
      </c>
      <c r="C356" t="s">
        <v>0</v>
      </c>
      <c r="D356" t="s">
        <v>868</v>
      </c>
      <c r="E356" t="s">
        <v>1400</v>
      </c>
      <c r="F356" t="s">
        <v>2525</v>
      </c>
      <c r="G356" t="str">
        <f t="shared" si="5"/>
        <v>https://wa.me/905425127759?text=%2AYAYIK%20M%C4%B0N%C4%B0SAN%2055%20LT%20K%C3%96%C5%9EEL%C4%B0%2A%20%C3%BCr%C3%BCn%C3%BC%20hakk%C4%B1nda%20bilgi%20almak%20istiyorum.</v>
      </c>
    </row>
    <row r="357" spans="1:7" x14ac:dyDescent="0.25">
      <c r="A357" t="s">
        <v>142</v>
      </c>
      <c r="B357" s="1">
        <v>7700</v>
      </c>
      <c r="C357" t="s">
        <v>0</v>
      </c>
      <c r="D357" t="s">
        <v>868</v>
      </c>
      <c r="E357" t="s">
        <v>1400</v>
      </c>
      <c r="F357" t="s">
        <v>2526</v>
      </c>
      <c r="G357" t="str">
        <f t="shared" si="5"/>
        <v>https://wa.me/905425127759?text=%2AYAYIK%20M%C4%B0N%C4%B0SAN%2055%20LT%20YUVARLAK%2A%20%C3%BCr%C3%BCn%C3%BC%20hakk%C4%B1nda%20bilgi%20almak%20istiyorum.</v>
      </c>
    </row>
    <row r="358" spans="1:7" x14ac:dyDescent="0.25">
      <c r="A358" t="s">
        <v>183</v>
      </c>
      <c r="B358" s="1">
        <v>8500</v>
      </c>
      <c r="C358" t="s">
        <v>0</v>
      </c>
      <c r="D358" t="s">
        <v>868</v>
      </c>
      <c r="E358" t="s">
        <v>1400</v>
      </c>
      <c r="F358" t="s">
        <v>2527</v>
      </c>
      <c r="G358" t="str">
        <f t="shared" si="5"/>
        <v>https://wa.me/905425127759?text=%2AYAYIK%20%C5%9EAHBAZ%2010%20LT%20KAHVALTIM%20%28Musluklu%29%2A%20%C3%BCr%C3%BCn%C3%BC%20hakk%C4%B1nda%20bilgi%20almak%20istiyorum.</v>
      </c>
    </row>
    <row r="359" spans="1:7" x14ac:dyDescent="0.25">
      <c r="A359" t="s">
        <v>182</v>
      </c>
      <c r="B359" s="1">
        <v>8200</v>
      </c>
      <c r="C359" t="s">
        <v>0</v>
      </c>
      <c r="D359" t="s">
        <v>868</v>
      </c>
      <c r="E359" t="s">
        <v>1400</v>
      </c>
      <c r="F359" t="s">
        <v>2528</v>
      </c>
      <c r="G359" t="str">
        <f t="shared" si="5"/>
        <v>https://wa.me/905425127759?text=%2AYAYIK%20%C5%9EAHBAZ%2010%20LT%20YUVARLAK%2A%20%C3%BCr%C3%BCn%C3%BC%20hakk%C4%B1nda%20bilgi%20almak%20istiyorum.</v>
      </c>
    </row>
    <row r="360" spans="1:7" x14ac:dyDescent="0.25">
      <c r="A360" t="s">
        <v>184</v>
      </c>
      <c r="B360" s="1">
        <v>8700</v>
      </c>
      <c r="C360" t="s">
        <v>0</v>
      </c>
      <c r="D360" t="s">
        <v>868</v>
      </c>
      <c r="E360" t="s">
        <v>1400</v>
      </c>
      <c r="F360" t="s">
        <v>2529</v>
      </c>
      <c r="G360" t="str">
        <f t="shared" si="5"/>
        <v>https://wa.me/905425127759?text=%2AYAYIK%20%C5%9EAHBAZ%2020%20LT%20YA%C4%9EMAT%C4%B0K%2A%20%C3%BCr%C3%BCn%C3%BC%20hakk%C4%B1nda%20bilgi%20almak%20istiyorum.</v>
      </c>
    </row>
    <row r="361" spans="1:7" x14ac:dyDescent="0.25">
      <c r="A361" t="s">
        <v>185</v>
      </c>
      <c r="B361" s="1">
        <v>8900</v>
      </c>
      <c r="C361" t="s">
        <v>0</v>
      </c>
      <c r="D361" t="s">
        <v>868</v>
      </c>
      <c r="E361" t="s">
        <v>1400</v>
      </c>
      <c r="F361" t="s">
        <v>2530</v>
      </c>
      <c r="G361" t="str">
        <f t="shared" si="5"/>
        <v>https://wa.me/905425127759?text=%2AYAYIK%20%C5%9EAHBAZ%2035%20LT%20YUVARLAK%2A%20%C3%BCr%C3%BCn%C3%BC%20hakk%C4%B1nda%20bilgi%20almak%20istiyorum.</v>
      </c>
    </row>
    <row r="362" spans="1:7" x14ac:dyDescent="0.25">
      <c r="A362" t="s">
        <v>186</v>
      </c>
      <c r="B362" s="1">
        <v>9200</v>
      </c>
      <c r="C362" t="s">
        <v>0</v>
      </c>
      <c r="D362" t="s">
        <v>868</v>
      </c>
      <c r="E362" t="s">
        <v>1400</v>
      </c>
      <c r="F362" t="s">
        <v>2531</v>
      </c>
      <c r="G362" t="str">
        <f t="shared" si="5"/>
        <v>https://wa.me/905425127759?text=%2AYAYIK%20%C5%9EAHBAZ%2040%20LT%20YUVARLAK%2A%20%C3%BCr%C3%BCn%C3%BC%20hakk%C4%B1nda%20bilgi%20almak%20istiyorum.</v>
      </c>
    </row>
    <row r="363" spans="1:7" x14ac:dyDescent="0.25">
      <c r="A363" t="s">
        <v>187</v>
      </c>
      <c r="B363" s="1">
        <v>9450</v>
      </c>
      <c r="C363" t="s">
        <v>0</v>
      </c>
      <c r="D363" t="s">
        <v>868</v>
      </c>
      <c r="E363" t="s">
        <v>1400</v>
      </c>
      <c r="F363" t="s">
        <v>2532</v>
      </c>
      <c r="G363" t="str">
        <f t="shared" si="5"/>
        <v>https://wa.me/905425127759?text=%2AYAYIK%20%C5%9EAHBAZ%2050%20LT%20YUVARLAK%2A%20%C3%BCr%C3%BCn%C3%BC%20hakk%C4%B1nda%20bilgi%20almak%20istiyorum.</v>
      </c>
    </row>
    <row r="364" spans="1:7" x14ac:dyDescent="0.25">
      <c r="A364" t="s">
        <v>188</v>
      </c>
      <c r="B364" s="1">
        <v>9900</v>
      </c>
      <c r="C364" t="s">
        <v>0</v>
      </c>
      <c r="D364" t="s">
        <v>868</v>
      </c>
      <c r="E364" t="s">
        <v>1400</v>
      </c>
      <c r="F364" t="s">
        <v>2533</v>
      </c>
      <c r="G364" t="str">
        <f t="shared" si="5"/>
        <v>https://wa.me/905425127759?text=%2AYAYIK%20%C5%9EAHBAZ%2060%20LT%20YUVARLAK%2A%20%C3%BCr%C3%BCn%C3%BC%20hakk%C4%B1nda%20bilgi%20almak%20istiyorum.</v>
      </c>
    </row>
    <row r="365" spans="1:7" x14ac:dyDescent="0.25">
      <c r="A365" t="s">
        <v>48</v>
      </c>
      <c r="B365" s="1">
        <v>0</v>
      </c>
      <c r="C365" t="s">
        <v>0</v>
      </c>
      <c r="D365" t="s">
        <v>868</v>
      </c>
      <c r="E365" t="s">
        <v>1400</v>
      </c>
      <c r="F365" t="s">
        <v>2534</v>
      </c>
      <c r="G365" t="str">
        <f t="shared" si="5"/>
        <v>https://wa.me/905425127759?text=%2AYEMEK%20TAKIMI%20BAMBUM%2024%20PAR%C3%87A%2A%20%C3%BCr%C3%BCn%C3%BC%20hakk%C4%B1nda%20bilgi%20almak%20istiyorum.</v>
      </c>
    </row>
    <row r="366" spans="1:7" x14ac:dyDescent="0.25">
      <c r="A366" t="s">
        <v>344</v>
      </c>
      <c r="B366" s="1">
        <v>850</v>
      </c>
      <c r="C366" t="s">
        <v>0</v>
      </c>
      <c r="D366" t="s">
        <v>868</v>
      </c>
      <c r="E366" t="s">
        <v>1400</v>
      </c>
      <c r="F366" t="s">
        <v>2535</v>
      </c>
      <c r="G366" t="str">
        <f t="shared" si="5"/>
        <v>https://wa.me/905425127759?text=%2AZEYT%C4%B0N%20ANAD%C4%B0Z%C4%B0%2A%20%C3%BCr%C3%BCn%C3%BC%20hakk%C4%B1nda%20bilgi%20almak%20istiyorum.</v>
      </c>
    </row>
    <row r="367" spans="1:7" x14ac:dyDescent="0.25">
      <c r="A367" t="s">
        <v>842</v>
      </c>
      <c r="B367" s="1">
        <v>7000</v>
      </c>
      <c r="C367" t="s">
        <v>0</v>
      </c>
      <c r="D367" t="s">
        <v>871</v>
      </c>
      <c r="E367" t="s">
        <v>1400</v>
      </c>
      <c r="F367" t="s">
        <v>2480</v>
      </c>
      <c r="G367" t="str">
        <f t="shared" si="5"/>
        <v>https://wa.me/905425127759?text=%2AAYAKKABILIK%20AH%C5%9EAP%20%28%C4%B0ST%29%2A%20%C3%BCr%C3%BCn%C3%BC%20hakk%C4%B1nda%20bilgi%20almak%20istiyorum.</v>
      </c>
    </row>
    <row r="368" spans="1:7" x14ac:dyDescent="0.25">
      <c r="A368" t="s">
        <v>702</v>
      </c>
      <c r="B368" s="1">
        <v>4700</v>
      </c>
      <c r="C368" t="s">
        <v>0</v>
      </c>
      <c r="D368" t="s">
        <v>871</v>
      </c>
      <c r="E368" t="s">
        <v>1400</v>
      </c>
      <c r="F368" t="s">
        <v>2481</v>
      </c>
      <c r="G368" t="str">
        <f t="shared" si="5"/>
        <v>https://wa.me/905425127759?text=%2AAYAKKABILIK%20METAL%202%20L%C4%B0%2A%20%C3%BCr%C3%BCn%C3%BC%20hakk%C4%B1nda%20bilgi%20almak%20istiyorum.</v>
      </c>
    </row>
    <row r="369" spans="1:7" x14ac:dyDescent="0.25">
      <c r="A369" t="s">
        <v>703</v>
      </c>
      <c r="B369" s="1">
        <v>5800</v>
      </c>
      <c r="C369" t="s">
        <v>0</v>
      </c>
      <c r="D369" t="s">
        <v>871</v>
      </c>
      <c r="E369" t="s">
        <v>1400</v>
      </c>
      <c r="F369" t="s">
        <v>2387</v>
      </c>
      <c r="G369" t="str">
        <f t="shared" si="5"/>
        <v>https://wa.me/905425127759?text=%2AAYAKKABILIK%20METAL%203%20L%C3%9C%2A%20%C3%BCr%C3%BCn%C3%BC%20hakk%C4%B1nda%20bilgi%20almak%20istiyorum.</v>
      </c>
    </row>
    <row r="370" spans="1:7" x14ac:dyDescent="0.25">
      <c r="A370" t="s">
        <v>704</v>
      </c>
      <c r="B370" s="1">
        <v>7000</v>
      </c>
      <c r="C370" t="s">
        <v>0</v>
      </c>
      <c r="D370" t="s">
        <v>871</v>
      </c>
      <c r="E370" t="s">
        <v>1400</v>
      </c>
      <c r="F370" t="s">
        <v>2388</v>
      </c>
      <c r="G370" t="str">
        <f t="shared" si="5"/>
        <v>https://wa.me/905425127759?text=%2AAYAKKABILIK%20METAL%204%20L%C3%9C%2A%20%C3%BCr%C3%BCn%C3%BC%20hakk%C4%B1nda%20bilgi%20almak%20istiyorum.</v>
      </c>
    </row>
    <row r="371" spans="1:7" x14ac:dyDescent="0.25">
      <c r="A371" t="s">
        <v>223</v>
      </c>
      <c r="B371" s="1">
        <v>6800</v>
      </c>
      <c r="C371" t="s">
        <v>0</v>
      </c>
      <c r="D371" t="s">
        <v>871</v>
      </c>
      <c r="E371" t="s">
        <v>1400</v>
      </c>
      <c r="F371" t="s">
        <v>873</v>
      </c>
      <c r="G371" t="str">
        <f t="shared" si="5"/>
        <v>https://wa.me/905425127759?text=%2ABEKLEME%20KOLTU%C4%9EU%20%C4%B0K%C4%B0L%C4%B0%20SILA%2A%20%C3%BCr%C3%BCn%C3%BC%20hakk%C4%B1nda%20bilgi%20almak%20istiyorum.</v>
      </c>
    </row>
    <row r="372" spans="1:7" x14ac:dyDescent="0.25">
      <c r="A372" t="s">
        <v>224</v>
      </c>
      <c r="B372" s="1">
        <v>5000</v>
      </c>
      <c r="C372" t="s">
        <v>0</v>
      </c>
      <c r="D372" t="s">
        <v>871</v>
      </c>
      <c r="E372" t="s">
        <v>1400</v>
      </c>
      <c r="F372" t="s">
        <v>874</v>
      </c>
      <c r="G372" t="str">
        <f t="shared" si="5"/>
        <v>https://wa.me/905425127759?text=%2ABEKLEME%20KOLTU%C4%9EU%20TEKL%C4%B0%20SILA%2A%20%C3%BCr%C3%BCn%C3%BC%20hakk%C4%B1nda%20bilgi%20almak%20istiyorum.</v>
      </c>
    </row>
    <row r="373" spans="1:7" x14ac:dyDescent="0.25">
      <c r="A373" t="s">
        <v>857</v>
      </c>
      <c r="B373" s="1">
        <v>6600</v>
      </c>
      <c r="C373" t="s">
        <v>0</v>
      </c>
      <c r="D373" t="s">
        <v>871</v>
      </c>
      <c r="E373" t="s">
        <v>1400</v>
      </c>
      <c r="F373" t="s">
        <v>2482</v>
      </c>
      <c r="G373" t="str">
        <f t="shared" si="5"/>
        <v>https://wa.me/905425127759?text=%2AB%C4%B0LG%C4%B0SAYAR-%C3%87ALI%C5%9EMA%20MASASI%20K%C3%9CT%C3%9CPHANEL%C4%B0%20%28%C4%B0ST%29%2A%20%C3%BCr%C3%BCn%C3%BC%20hakk%C4%B1nda%20bilgi%20almak%20istiyorum.</v>
      </c>
    </row>
    <row r="374" spans="1:7" x14ac:dyDescent="0.25">
      <c r="A374" t="s">
        <v>831</v>
      </c>
      <c r="B374" s="1">
        <v>5000</v>
      </c>
      <c r="C374" t="s">
        <v>0</v>
      </c>
      <c r="D374" t="s">
        <v>871</v>
      </c>
      <c r="E374" t="s">
        <v>1400</v>
      </c>
      <c r="F374" t="s">
        <v>2483</v>
      </c>
      <c r="G374" t="str">
        <f t="shared" si="5"/>
        <v>https://wa.me/905425127759?text=%2A%C3%87ALI%C5%9EMA%20MASASI%20%28%C4%B0ST%29%2A%20%C3%BCr%C3%BCn%C3%BC%20hakk%C4%B1nda%20bilgi%20almak%20istiyorum.</v>
      </c>
    </row>
    <row r="375" spans="1:7" x14ac:dyDescent="0.25">
      <c r="A375" t="s">
        <v>846</v>
      </c>
      <c r="B375" s="1">
        <v>12000</v>
      </c>
      <c r="C375" t="s">
        <v>0</v>
      </c>
      <c r="D375" t="s">
        <v>871</v>
      </c>
      <c r="E375" t="s">
        <v>1400</v>
      </c>
      <c r="F375" t="s">
        <v>2389</v>
      </c>
      <c r="G375" t="str">
        <f t="shared" si="5"/>
        <v>https://wa.me/905425127759?text=%2A%C3%87ALI%C5%9EMA%20MASASI%20RETRO%20%28PYRZ%29%2A%20%C3%BCr%C3%BCn%C3%BC%20hakk%C4%B1nda%20bilgi%20almak%20istiyorum.</v>
      </c>
    </row>
    <row r="376" spans="1:7" x14ac:dyDescent="0.25">
      <c r="A376" t="s">
        <v>225</v>
      </c>
      <c r="B376" s="1">
        <v>15750</v>
      </c>
      <c r="C376" t="s">
        <v>0</v>
      </c>
      <c r="D376" t="s">
        <v>871</v>
      </c>
      <c r="E376" t="s">
        <v>1400</v>
      </c>
      <c r="F376" t="s">
        <v>1131</v>
      </c>
      <c r="G376" t="str">
        <f t="shared" si="5"/>
        <v>https://wa.me/905425127759?text=%2A%C3%87AY%20SET%C4%B0%20PAPATYA%2A%20%C3%BCr%C3%BCn%C3%BC%20hakk%C4%B1nda%20bilgi%20almak%20istiyorum.</v>
      </c>
    </row>
    <row r="377" spans="1:7" x14ac:dyDescent="0.25">
      <c r="A377" t="s">
        <v>669</v>
      </c>
      <c r="B377" s="1">
        <v>0</v>
      </c>
      <c r="C377" t="s">
        <v>0</v>
      </c>
      <c r="D377" t="s">
        <v>871</v>
      </c>
      <c r="E377" t="s">
        <v>1400</v>
      </c>
      <c r="F377" t="s">
        <v>1153</v>
      </c>
      <c r="G377" t="str">
        <f t="shared" si="5"/>
        <v>https://wa.me/905425127759?text=%2A%C3%87AY%20SET%C4%B0%20PUF%20PAPATYA%2A%20%C3%BCr%C3%BCn%C3%BC%20hakk%C4%B1nda%20bilgi%20almak%20istiyorum.</v>
      </c>
    </row>
    <row r="378" spans="1:7" x14ac:dyDescent="0.25">
      <c r="A378" t="s">
        <v>226</v>
      </c>
      <c r="B378" s="1">
        <v>13500</v>
      </c>
      <c r="C378" t="s">
        <v>0</v>
      </c>
      <c r="D378" t="s">
        <v>871</v>
      </c>
      <c r="E378" t="s">
        <v>1400</v>
      </c>
      <c r="F378" t="s">
        <v>2484</v>
      </c>
      <c r="G378" t="str">
        <f t="shared" si="5"/>
        <v>https://wa.me/905425127759?text=%2A%C3%87AY%20SET%C4%B0%20SAB%C4%B0T%20AH%C5%9EAP%20AYAK%2A%20%C3%BCr%C3%BCn%C3%BC%20hakk%C4%B1nda%20bilgi%20almak%20istiyorum.</v>
      </c>
    </row>
    <row r="379" spans="1:7" x14ac:dyDescent="0.25">
      <c r="A379" t="s">
        <v>854</v>
      </c>
      <c r="B379" s="1">
        <v>7200</v>
      </c>
      <c r="C379" t="s">
        <v>0</v>
      </c>
      <c r="D379" t="s">
        <v>871</v>
      </c>
      <c r="E379" t="s">
        <v>1400</v>
      </c>
      <c r="F379" t="s">
        <v>1173</v>
      </c>
      <c r="G379" t="str">
        <f t="shared" si="5"/>
        <v>https://wa.me/905425127759?text=%2ADOLAP%202%20KAPAKLI%20%20%28%C4%B0ST%29%2A%20%C3%BCr%C3%BCn%C3%BC%20hakk%C4%B1nda%20bilgi%20almak%20istiyorum.</v>
      </c>
    </row>
    <row r="380" spans="1:7" x14ac:dyDescent="0.25">
      <c r="A380" t="s">
        <v>853</v>
      </c>
      <c r="B380" s="1">
        <v>9000</v>
      </c>
      <c r="C380" t="s">
        <v>0</v>
      </c>
      <c r="D380" t="s">
        <v>871</v>
      </c>
      <c r="E380" t="s">
        <v>1400</v>
      </c>
      <c r="F380" t="s">
        <v>1172</v>
      </c>
      <c r="G380" t="str">
        <f t="shared" si="5"/>
        <v>https://wa.me/905425127759?text=%2ADOLAP%203%20KAPAKLI%20%28%C4%B0ST%29%2A%20%C3%BCr%C3%BCn%C3%BC%20hakk%C4%B1nda%20bilgi%20almak%20istiyorum.</v>
      </c>
    </row>
    <row r="381" spans="1:7" x14ac:dyDescent="0.25">
      <c r="A381" t="s">
        <v>850</v>
      </c>
      <c r="B381" s="1">
        <v>12000</v>
      </c>
      <c r="C381" t="s">
        <v>0</v>
      </c>
      <c r="D381" t="s">
        <v>871</v>
      </c>
      <c r="E381" t="s">
        <v>1400</v>
      </c>
      <c r="F381" t="s">
        <v>1169</v>
      </c>
      <c r="G381" t="str">
        <f t="shared" si="5"/>
        <v>https://wa.me/905425127759?text=%2ADOLAP%203%20KAPAKLI%20RETRO%20%28PYRZ%29%2A%20%C3%BCr%C3%BCn%C3%BC%20hakk%C4%B1nda%20bilgi%20almak%20istiyorum.</v>
      </c>
    </row>
    <row r="382" spans="1:7" x14ac:dyDescent="0.25">
      <c r="A382" t="s">
        <v>843</v>
      </c>
      <c r="B382" s="1">
        <v>13500</v>
      </c>
      <c r="C382" t="s">
        <v>0</v>
      </c>
      <c r="D382" t="s">
        <v>871</v>
      </c>
      <c r="E382" t="s">
        <v>1400</v>
      </c>
      <c r="F382" t="s">
        <v>1164</v>
      </c>
      <c r="G382" t="str">
        <f t="shared" si="5"/>
        <v>https://wa.me/905425127759?text=%2ADOLAP%203%20L%C3%9C%20L%C3%9CKS%20RETRO%20%28PYRZ%29%2A%20%C3%BCr%C3%BCn%C3%BC%20hakk%C4%B1nda%20bilgi%20almak%20istiyorum.</v>
      </c>
    </row>
    <row r="383" spans="1:7" x14ac:dyDescent="0.25">
      <c r="A383" t="s">
        <v>852</v>
      </c>
      <c r="B383" s="1">
        <v>18000</v>
      </c>
      <c r="C383" t="s">
        <v>0</v>
      </c>
      <c r="D383" t="s">
        <v>871</v>
      </c>
      <c r="E383" t="s">
        <v>1400</v>
      </c>
      <c r="F383" t="s">
        <v>1171</v>
      </c>
      <c r="G383" t="str">
        <f t="shared" si="5"/>
        <v>https://wa.me/905425127759?text=%2ADOLAP%204%20KAPAKLI%20160CM%20%28%C4%B0ST%29%2A%20%C3%BCr%C3%BCn%C3%BC%20hakk%C4%B1nda%20bilgi%20almak%20istiyorum.</v>
      </c>
    </row>
    <row r="384" spans="1:7" x14ac:dyDescent="0.25">
      <c r="A384" t="s">
        <v>840</v>
      </c>
      <c r="B384" s="1">
        <v>18000</v>
      </c>
      <c r="C384" t="s">
        <v>0</v>
      </c>
      <c r="D384" t="s">
        <v>871</v>
      </c>
      <c r="E384" t="s">
        <v>1400</v>
      </c>
      <c r="F384" t="s">
        <v>1162</v>
      </c>
      <c r="G384" t="str">
        <f t="shared" si="5"/>
        <v>https://wa.me/905425127759?text=%2ADOLAP%204%20KAPAKLI%20160CM%20%28PYRZ%29%2A%20%C3%BCr%C3%BCn%C3%BC%20hakk%C4%B1nda%20bilgi%20almak%20istiyorum.</v>
      </c>
    </row>
    <row r="385" spans="1:7" x14ac:dyDescent="0.25">
      <c r="A385" t="s">
        <v>849</v>
      </c>
      <c r="B385" s="1">
        <v>35000</v>
      </c>
      <c r="C385" t="s">
        <v>0</v>
      </c>
      <c r="D385" t="s">
        <v>871</v>
      </c>
      <c r="E385" t="s">
        <v>1400</v>
      </c>
      <c r="F385" t="s">
        <v>1168</v>
      </c>
      <c r="G385" t="str">
        <f t="shared" ref="G385:G448" si="6">"https://wa.me/905425127759?text=" &amp; _xlfn.ENCODEURL("*" &amp; A385 &amp; "* ürünü hakkında bilgi almak istiyorum.")</f>
        <v>https://wa.me/905425127759?text=%2ADOLAP%204%20KAPAKLI%20BERF%C4%B0N%20%28PYRZ%29%2A%20%C3%BCr%C3%BCn%C3%BC%20hakk%C4%B1nda%20bilgi%20almak%20istiyorum.</v>
      </c>
    </row>
    <row r="386" spans="1:7" x14ac:dyDescent="0.25">
      <c r="A386" t="s">
        <v>848</v>
      </c>
      <c r="B386" s="1">
        <v>35000</v>
      </c>
      <c r="C386" t="s">
        <v>0</v>
      </c>
      <c r="D386" t="s">
        <v>871</v>
      </c>
      <c r="E386" t="s">
        <v>1400</v>
      </c>
      <c r="F386" t="s">
        <v>1167</v>
      </c>
      <c r="G386" t="str">
        <f t="shared" si="6"/>
        <v>https://wa.me/905425127759?text=%2ADOLAP%204%20KAPAKLI%20ECR%C4%B0N%20%28PYRZ%29%2A%20%C3%BCr%C3%BCn%C3%BC%20hakk%C4%B1nda%20bilgi%20almak%20istiyorum.</v>
      </c>
    </row>
    <row r="387" spans="1:7" x14ac:dyDescent="0.25">
      <c r="A387" t="s">
        <v>851</v>
      </c>
      <c r="B387" s="1">
        <v>18000</v>
      </c>
      <c r="C387" t="s">
        <v>0</v>
      </c>
      <c r="D387" t="s">
        <v>871</v>
      </c>
      <c r="E387" t="s">
        <v>1400</v>
      </c>
      <c r="F387" t="s">
        <v>1170</v>
      </c>
      <c r="G387" t="str">
        <f t="shared" si="6"/>
        <v>https://wa.me/905425127759?text=%2ADOLAP%204%20KAPAKLI%20RETRO%20%28PYRZ%29%2A%20%C3%BCr%C3%BCn%C3%BC%20hakk%C4%B1nda%20bilgi%20almak%20istiyorum.</v>
      </c>
    </row>
    <row r="388" spans="1:7" x14ac:dyDescent="0.25">
      <c r="A388" t="s">
        <v>832</v>
      </c>
      <c r="B388" s="1">
        <v>27000</v>
      </c>
      <c r="C388" t="s">
        <v>0</v>
      </c>
      <c r="D388" t="s">
        <v>871</v>
      </c>
      <c r="E388" t="s">
        <v>1400</v>
      </c>
      <c r="F388" t="s">
        <v>1155</v>
      </c>
      <c r="G388" t="str">
        <f t="shared" si="6"/>
        <v>https://wa.me/905425127759?text=%2ADOLAP%206%20KAPAKLI%20210CM%20%20%28%C4%B0ST%29%2A%20%C3%BCr%C3%BCn%C3%BC%20hakk%C4%B1nda%20bilgi%20almak%20istiyorum.</v>
      </c>
    </row>
    <row r="389" spans="1:7" x14ac:dyDescent="0.25">
      <c r="A389" t="s">
        <v>227</v>
      </c>
      <c r="B389" s="1">
        <v>6000</v>
      </c>
      <c r="C389" t="s">
        <v>0</v>
      </c>
      <c r="D389" t="s">
        <v>871</v>
      </c>
      <c r="E389" t="s">
        <v>1400</v>
      </c>
      <c r="F389" t="s">
        <v>1132</v>
      </c>
      <c r="G389" t="str">
        <f t="shared" si="6"/>
        <v>https://wa.me/905425127759?text=%2AEKMEKL%C4%B0K%20TEKL%C4%B0%20BASKILI%2A%20%C3%BCr%C3%BCn%C3%BC%20hakk%C4%B1nda%20bilgi%20almak%20istiyorum.</v>
      </c>
    </row>
    <row r="390" spans="1:7" x14ac:dyDescent="0.25">
      <c r="A390" t="s">
        <v>228</v>
      </c>
      <c r="B390" s="1">
        <v>5700</v>
      </c>
      <c r="C390" t="s">
        <v>0</v>
      </c>
      <c r="D390" t="s">
        <v>871</v>
      </c>
      <c r="E390" t="s">
        <v>1400</v>
      </c>
      <c r="F390" t="s">
        <v>1133</v>
      </c>
      <c r="G390" t="str">
        <f t="shared" si="6"/>
        <v>https://wa.me/905425127759?text=%2AEKMEKL%C4%B0K%20TEKL%C4%B0%20D%C3%9CZ%2A%20%C3%BCr%C3%BCn%C3%BC%20hakk%C4%B1nda%20bilgi%20almak%20istiyorum.</v>
      </c>
    </row>
    <row r="391" spans="1:7" x14ac:dyDescent="0.25">
      <c r="A391" t="s">
        <v>841</v>
      </c>
      <c r="B391" s="1">
        <v>7500</v>
      </c>
      <c r="C391" t="s">
        <v>0</v>
      </c>
      <c r="D391" t="s">
        <v>871</v>
      </c>
      <c r="E391" t="s">
        <v>1400</v>
      </c>
      <c r="F391" t="s">
        <v>1163</v>
      </c>
      <c r="G391" t="str">
        <f t="shared" si="6"/>
        <v>https://wa.me/905425127759?text=%2AK%C4%B0LER%20DOLABI%20%28PYRZ%29%2A%20%C3%BCr%C3%BCn%C3%BC%20hakk%C4%B1nda%20bilgi%20almak%20istiyorum.</v>
      </c>
    </row>
    <row r="392" spans="1:7" x14ac:dyDescent="0.25">
      <c r="A392" t="s">
        <v>856</v>
      </c>
      <c r="B392" s="1">
        <v>7100</v>
      </c>
      <c r="C392" t="s">
        <v>0</v>
      </c>
      <c r="D392" t="s">
        <v>871</v>
      </c>
      <c r="E392" t="s">
        <v>1400</v>
      </c>
      <c r="F392" t="s">
        <v>1175</v>
      </c>
      <c r="G392" t="str">
        <f t="shared" si="6"/>
        <v>https://wa.me/905425127759?text=%2AK%C4%B0LER%20DOLABI%20%C3%87EKMECEL%C4%B0%20%28%C4%B0ST%29%2A%20%C3%BCr%C3%BCn%C3%BC%20hakk%C4%B1nda%20bilgi%20almak%20istiyorum.</v>
      </c>
    </row>
    <row r="393" spans="1:7" x14ac:dyDescent="0.25">
      <c r="A393" t="s">
        <v>855</v>
      </c>
      <c r="B393" s="1">
        <v>6600</v>
      </c>
      <c r="C393" t="s">
        <v>0</v>
      </c>
      <c r="D393" t="s">
        <v>871</v>
      </c>
      <c r="E393" t="s">
        <v>1400</v>
      </c>
      <c r="F393" t="s">
        <v>1174</v>
      </c>
      <c r="G393" t="str">
        <f t="shared" si="6"/>
        <v>https://wa.me/905425127759?text=%2AK%C4%B0LER%20DOLABI%20KAPAKLI%20BOY%20%28%C4%B0ST%29%2A%20%C3%BCr%C3%BCn%C3%BC%20hakk%C4%B1nda%20bilgi%20almak%20istiyorum.</v>
      </c>
    </row>
    <row r="394" spans="1:7" x14ac:dyDescent="0.25">
      <c r="A394" t="s">
        <v>859</v>
      </c>
      <c r="B394" s="1">
        <v>10000</v>
      </c>
      <c r="C394" t="s">
        <v>0</v>
      </c>
      <c r="D394" t="s">
        <v>871</v>
      </c>
      <c r="E394" t="s">
        <v>1400</v>
      </c>
      <c r="F394" t="s">
        <v>1165</v>
      </c>
      <c r="G394" t="str">
        <f t="shared" si="6"/>
        <v>https://wa.me/905425127759?text=%2AK%C4%B0TAPLIK%20RETRO%20%28PYRZ%29%2A%20%C3%BCr%C3%BCn%C3%BC%20hakk%C4%B1nda%20bilgi%20almak%20istiyorum.</v>
      </c>
    </row>
    <row r="395" spans="1:7" x14ac:dyDescent="0.25">
      <c r="A395" t="s">
        <v>838</v>
      </c>
      <c r="B395" s="1">
        <v>4000</v>
      </c>
      <c r="C395" t="s">
        <v>0</v>
      </c>
      <c r="D395" t="s">
        <v>871</v>
      </c>
      <c r="E395" t="s">
        <v>1400</v>
      </c>
      <c r="F395" t="s">
        <v>1161</v>
      </c>
      <c r="G395" t="str">
        <f t="shared" si="6"/>
        <v>https://wa.me/905425127759?text=%2AKOM%C4%B0D%C4%B0N%20%28%C4%B0ST%29%2A%20%C3%BCr%C3%BCn%C3%BC%20hakk%C4%B1nda%20bilgi%20almak%20istiyorum.</v>
      </c>
    </row>
    <row r="396" spans="1:7" x14ac:dyDescent="0.25">
      <c r="A396" t="s">
        <v>789</v>
      </c>
      <c r="B396" s="1">
        <v>9000</v>
      </c>
      <c r="C396" t="s">
        <v>0</v>
      </c>
      <c r="D396" t="s">
        <v>871</v>
      </c>
      <c r="E396" t="s">
        <v>1400</v>
      </c>
      <c r="F396" t="s">
        <v>1159</v>
      </c>
      <c r="G396" t="str">
        <f t="shared" si="6"/>
        <v>https://wa.me/905425127759?text=%2AMETAL%20BAH%C3%87E%20%C3%87%C4%B0FTL%C4%B0%20%28%C3%96M%C3%9CR%29%2A%20%C3%BCr%C3%BCn%C3%BC%20hakk%C4%B1nda%20bilgi%20almak%20istiyorum.</v>
      </c>
    </row>
    <row r="397" spans="1:7" x14ac:dyDescent="0.25">
      <c r="A397" t="s">
        <v>266</v>
      </c>
      <c r="B397" s="1">
        <v>15000</v>
      </c>
      <c r="C397" t="s">
        <v>0</v>
      </c>
      <c r="D397" t="s">
        <v>871</v>
      </c>
      <c r="E397" t="s">
        <v>1400</v>
      </c>
      <c r="F397" t="s">
        <v>2390</v>
      </c>
      <c r="G397" t="str">
        <f t="shared" si="6"/>
        <v>https://wa.me/905425127759?text=%2AMETAL%20BAH%C3%87E%20TAKIMI%202-1-1%20%28%C3%96M%C3%9CR%29%2A%20%C3%BCr%C3%BCn%C3%BC%20hakk%C4%B1nda%20bilgi%20almak%20istiyorum.</v>
      </c>
    </row>
    <row r="398" spans="1:7" x14ac:dyDescent="0.25">
      <c r="A398" t="s">
        <v>267</v>
      </c>
      <c r="B398" s="1">
        <v>19000</v>
      </c>
      <c r="C398" t="s">
        <v>0</v>
      </c>
      <c r="D398" t="s">
        <v>871</v>
      </c>
      <c r="E398" t="s">
        <v>1400</v>
      </c>
      <c r="F398" t="s">
        <v>2391</v>
      </c>
      <c r="G398" t="str">
        <f t="shared" si="6"/>
        <v>https://wa.me/905425127759?text=%2AMETAL%20BAH%C3%87E%20TAKIMI%203-1-1%20%28%C3%96M%C3%9CR%29%2A%20%C3%BCr%C3%BCn%C3%BC%20hakk%C4%B1nda%20bilgi%20almak%20istiyorum.</v>
      </c>
    </row>
    <row r="399" spans="1:7" x14ac:dyDescent="0.25">
      <c r="A399" t="s">
        <v>788</v>
      </c>
      <c r="B399" s="1">
        <v>4500</v>
      </c>
      <c r="C399" t="s">
        <v>0</v>
      </c>
      <c r="D399" t="s">
        <v>871</v>
      </c>
      <c r="E399" t="s">
        <v>1400</v>
      </c>
      <c r="F399" t="s">
        <v>1158</v>
      </c>
      <c r="G399" t="str">
        <f t="shared" si="6"/>
        <v>https://wa.me/905425127759?text=%2AMETAL%20BAH%C3%87E%20TEKL%C4%B0%20%28%C3%96M%C3%9CR%29%2A%20%C3%BCr%C3%BCn%C3%BC%20hakk%C4%B1nda%20bilgi%20almak%20istiyorum.</v>
      </c>
    </row>
    <row r="400" spans="1:7" x14ac:dyDescent="0.25">
      <c r="A400" t="s">
        <v>790</v>
      </c>
      <c r="B400" s="1">
        <v>13500</v>
      </c>
      <c r="C400" t="s">
        <v>0</v>
      </c>
      <c r="D400" t="s">
        <v>871</v>
      </c>
      <c r="E400" t="s">
        <v>1400</v>
      </c>
      <c r="F400" t="s">
        <v>1160</v>
      </c>
      <c r="G400" t="str">
        <f t="shared" si="6"/>
        <v>https://wa.me/905425127759?text=%2AMETAL%20BAH%C3%87E%20%C3%9C%C3%87L%C3%9C%20%28%C3%96M%C3%9CR%29%2A%20%C3%BCr%C3%BCn%C3%BC%20hakk%C4%B1nda%20bilgi%20almak%20istiyorum.</v>
      </c>
    </row>
    <row r="401" spans="1:7" x14ac:dyDescent="0.25">
      <c r="A401" t="s">
        <v>715</v>
      </c>
      <c r="B401" s="1">
        <v>7700</v>
      </c>
      <c r="C401" t="s">
        <v>0</v>
      </c>
      <c r="D401" t="s">
        <v>871</v>
      </c>
      <c r="E401" t="s">
        <v>1400</v>
      </c>
      <c r="F401" t="s">
        <v>1156</v>
      </c>
      <c r="G401" t="str">
        <f t="shared" si="6"/>
        <v>https://wa.me/905425127759?text=%2ARANZA%20METAL%2A%20%C3%BCr%C3%BCn%C3%BC%20hakk%C4%B1nda%20bilgi%20almak%20istiyorum.</v>
      </c>
    </row>
    <row r="402" spans="1:7" x14ac:dyDescent="0.25">
      <c r="A402" t="s">
        <v>294</v>
      </c>
      <c r="B402" s="1">
        <v>13000</v>
      </c>
      <c r="C402" t="s">
        <v>0</v>
      </c>
      <c r="D402" t="s">
        <v>871</v>
      </c>
      <c r="E402" t="s">
        <v>1400</v>
      </c>
      <c r="F402" t="s">
        <v>1134</v>
      </c>
      <c r="G402" t="str">
        <f t="shared" si="6"/>
        <v>https://wa.me/905425127759?text=%2ASALINCAK%20%C3%87%C4%B0FTL%C4%B0%20B%C4%B0TATEK%2A%20%C3%BCr%C3%BCn%C3%BC%20hakk%C4%B1nda%20bilgi%20almak%20istiyorum.</v>
      </c>
    </row>
    <row r="403" spans="1:7" x14ac:dyDescent="0.25">
      <c r="A403" t="s">
        <v>295</v>
      </c>
      <c r="B403" s="1">
        <v>14000</v>
      </c>
      <c r="C403" t="s">
        <v>0</v>
      </c>
      <c r="D403" t="s">
        <v>871</v>
      </c>
      <c r="E403" t="s">
        <v>1400</v>
      </c>
      <c r="F403" t="s">
        <v>1135</v>
      </c>
      <c r="G403" t="str">
        <f t="shared" si="6"/>
        <v>https://wa.me/905425127759?text=%2ASALINCAK%20RATTAN%20%C3%87%C4%B0TL%C4%B0%2A%20%C3%BCr%C3%BCn%C3%BC%20hakk%C4%B1nda%20bilgi%20almak%20istiyorum.</v>
      </c>
    </row>
    <row r="404" spans="1:7" x14ac:dyDescent="0.25">
      <c r="A404" t="s">
        <v>296</v>
      </c>
      <c r="B404" s="1">
        <v>7000</v>
      </c>
      <c r="C404" t="s">
        <v>0</v>
      </c>
      <c r="D404" t="s">
        <v>871</v>
      </c>
      <c r="E404" t="s">
        <v>1400</v>
      </c>
      <c r="F404" t="s">
        <v>1136</v>
      </c>
      <c r="G404" t="str">
        <f t="shared" si="6"/>
        <v>https://wa.me/905425127759?text=%2ASALINCAK%20TEKL%C4%B0%20B%C4%B0TATEK%2A%20%C3%BCr%C3%BCn%C3%BC%20hakk%C4%B1nda%20bilgi%20almak%20istiyorum.</v>
      </c>
    </row>
    <row r="405" spans="1:7" x14ac:dyDescent="0.25">
      <c r="A405" t="s">
        <v>305</v>
      </c>
      <c r="B405" s="1">
        <v>1450</v>
      </c>
      <c r="C405" t="s">
        <v>0</v>
      </c>
      <c r="D405" t="s">
        <v>871</v>
      </c>
      <c r="E405" t="s">
        <v>1400</v>
      </c>
      <c r="F405" t="s">
        <v>1137</v>
      </c>
      <c r="G405" t="str">
        <f t="shared" si="6"/>
        <v>https://wa.me/905425127759?text=%2ASANDALYE%20PLAST%C4%B0K%20BAMBU%20CAPPUC%C4%B0NO%20%28ATLANT%C4%B0S%29%2A%20%C3%BCr%C3%BCn%C3%BC%20hakk%C4%B1nda%20bilgi%20almak%20istiyorum.</v>
      </c>
    </row>
    <row r="406" spans="1:7" x14ac:dyDescent="0.25">
      <c r="A406" t="s">
        <v>306</v>
      </c>
      <c r="B406" s="1">
        <v>1450</v>
      </c>
      <c r="C406" t="s">
        <v>0</v>
      </c>
      <c r="D406" t="s">
        <v>871</v>
      </c>
      <c r="E406" t="s">
        <v>1400</v>
      </c>
      <c r="F406" t="s">
        <v>1138</v>
      </c>
      <c r="G406" t="str">
        <f t="shared" si="6"/>
        <v>https://wa.me/905425127759?text=%2ASANDALYE%20PLAST%C4%B0K%20BAMBU%20KAHVE%20%28ATLANT%C4%B0S%29%2A%20%C3%BCr%C3%BCn%C3%BC%20hakk%C4%B1nda%20bilgi%20almak%20istiyorum.</v>
      </c>
    </row>
    <row r="407" spans="1:7" x14ac:dyDescent="0.25">
      <c r="A407" t="s">
        <v>1441</v>
      </c>
      <c r="B407" s="1">
        <v>700</v>
      </c>
      <c r="C407" t="s">
        <v>0</v>
      </c>
      <c r="D407" t="s">
        <v>871</v>
      </c>
      <c r="E407" t="s">
        <v>1400</v>
      </c>
      <c r="F407" t="s">
        <v>2584</v>
      </c>
      <c r="G407" t="str">
        <f t="shared" si="6"/>
        <v>https://wa.me/905425127759?text=%2ASANDALYE%20PLAST%C4%B0K%20BERGAMA%2A%20%C3%BCr%C3%BCn%C3%BC%20hakk%C4%B1nda%20bilgi%20almak%20istiyorum.</v>
      </c>
    </row>
    <row r="408" spans="1:7" x14ac:dyDescent="0.25">
      <c r="A408" t="s">
        <v>1443</v>
      </c>
      <c r="B408" s="1">
        <v>1250</v>
      </c>
      <c r="C408" t="s">
        <v>0</v>
      </c>
      <c r="D408" t="s">
        <v>871</v>
      </c>
      <c r="E408" t="s">
        <v>1400</v>
      </c>
      <c r="F408" t="s">
        <v>2585</v>
      </c>
      <c r="G408" t="str">
        <f t="shared" si="6"/>
        <v>https://wa.me/905425127759?text=%2ASANDALYE%20PLAST%C4%B0K%20NAPOL%C4%B0%20L%C3%9CKS%2A%20%C3%BCr%C3%BCn%C3%BC%20hakk%C4%B1nda%20bilgi%20almak%20istiyorum.</v>
      </c>
    </row>
    <row r="409" spans="1:7" x14ac:dyDescent="0.25">
      <c r="A409" t="s">
        <v>1445</v>
      </c>
      <c r="B409" s="1">
        <v>1100</v>
      </c>
      <c r="C409" t="s">
        <v>0</v>
      </c>
      <c r="D409" t="s">
        <v>871</v>
      </c>
      <c r="E409" t="s">
        <v>1400</v>
      </c>
      <c r="F409" t="s">
        <v>2586</v>
      </c>
      <c r="G409" t="str">
        <f t="shared" si="6"/>
        <v>https://wa.me/905425127759?text=%2ASANDALYE%20PLAST%C4%B0K%20OSCAR%20METAL%20AYAKLI%2A%20%C3%BCr%C3%BCn%C3%BC%20hakk%C4%B1nda%20bilgi%20almak%20istiyorum.</v>
      </c>
    </row>
    <row r="410" spans="1:7" x14ac:dyDescent="0.25">
      <c r="A410" t="s">
        <v>1447</v>
      </c>
      <c r="B410" s="1">
        <v>1400</v>
      </c>
      <c r="C410" t="s">
        <v>0</v>
      </c>
      <c r="D410" t="s">
        <v>871</v>
      </c>
      <c r="E410" t="s">
        <v>1400</v>
      </c>
      <c r="F410" t="s">
        <v>2587</v>
      </c>
      <c r="G410" t="str">
        <f t="shared" si="6"/>
        <v>https://wa.me/905425127759?text=%2ASANDALYE%20PLAST%C4%B0K%20RATTAN%20%20H%C4%B0LTON%2A%20%C3%BCr%C3%BCn%C3%BC%20hakk%C4%B1nda%20bilgi%20almak%20istiyorum.</v>
      </c>
    </row>
    <row r="411" spans="1:7" x14ac:dyDescent="0.25">
      <c r="A411" t="s">
        <v>317</v>
      </c>
      <c r="B411" s="1">
        <v>1450</v>
      </c>
      <c r="C411" t="s">
        <v>0</v>
      </c>
      <c r="D411" t="s">
        <v>871</v>
      </c>
      <c r="E411" t="s">
        <v>1400</v>
      </c>
      <c r="F411" t="s">
        <v>1139</v>
      </c>
      <c r="G411" t="str">
        <f t="shared" si="6"/>
        <v>https://wa.me/905425127759?text=%2ASANDALYE%20PLAST%C4%B0K%20RATTAN%20H%C4%B0LTON%20CAPPUC%C4%B0NO%2A%20%C3%BCr%C3%BCn%C3%BC%20hakk%C4%B1nda%20bilgi%20almak%20istiyorum.</v>
      </c>
    </row>
    <row r="412" spans="1:7" x14ac:dyDescent="0.25">
      <c r="A412" t="s">
        <v>318</v>
      </c>
      <c r="B412" s="1">
        <v>1500</v>
      </c>
      <c r="C412" t="s">
        <v>0</v>
      </c>
      <c r="D412" t="s">
        <v>871</v>
      </c>
      <c r="E412" t="s">
        <v>1400</v>
      </c>
      <c r="F412" t="s">
        <v>1140</v>
      </c>
      <c r="G412" t="str">
        <f t="shared" si="6"/>
        <v>https://wa.me/905425127759?text=%2ASANDALYE%20PLAST%C4%B0K%20RATTAN%20PAR%C4%B0S%2A%20%C3%BCr%C3%BCn%C3%BC%20hakk%C4%B1nda%20bilgi%20almak%20istiyorum.</v>
      </c>
    </row>
    <row r="413" spans="1:7" x14ac:dyDescent="0.25">
      <c r="A413" t="s">
        <v>324</v>
      </c>
      <c r="B413" s="1">
        <v>10200</v>
      </c>
      <c r="C413" t="s">
        <v>0</v>
      </c>
      <c r="D413" t="s">
        <v>871</v>
      </c>
      <c r="E413" t="s">
        <v>1400</v>
      </c>
      <c r="F413" t="s">
        <v>1141</v>
      </c>
      <c r="G413" t="str">
        <f t="shared" si="6"/>
        <v>https://wa.me/905425127759?text=%2ASEKRETER%20KOLTU%C4%9EU%20ALYA%2A%20%C3%BCr%C3%BCn%C3%BC%20hakk%C4%B1nda%20bilgi%20almak%20istiyorum.</v>
      </c>
    </row>
    <row r="414" spans="1:7" x14ac:dyDescent="0.25">
      <c r="A414" t="s">
        <v>776</v>
      </c>
      <c r="B414" s="1">
        <v>5400</v>
      </c>
      <c r="C414" t="s">
        <v>0</v>
      </c>
      <c r="D414" t="s">
        <v>871</v>
      </c>
      <c r="E414" t="s">
        <v>1400</v>
      </c>
      <c r="F414" t="s">
        <v>1157</v>
      </c>
      <c r="G414" t="str">
        <f t="shared" si="6"/>
        <v>https://wa.me/905425127759?text=%2ASEKRETER%20KOLTU%C4%9EU%20ATLAS%20M%C3%9CD%C3%9CR%2A%20%C3%BCr%C3%BCn%C3%BC%20hakk%C4%B1nda%20bilgi%20almak%20istiyorum.</v>
      </c>
    </row>
    <row r="415" spans="1:7" x14ac:dyDescent="0.25">
      <c r="A415" t="s">
        <v>325</v>
      </c>
      <c r="B415" s="1">
        <v>3750</v>
      </c>
      <c r="C415" t="s">
        <v>0</v>
      </c>
      <c r="D415" t="s">
        <v>871</v>
      </c>
      <c r="E415" t="s">
        <v>1400</v>
      </c>
      <c r="F415" t="s">
        <v>1142</v>
      </c>
      <c r="G415" t="str">
        <f t="shared" si="6"/>
        <v>https://wa.me/905425127759?text=%2ASEKRETER%20KOLTU%C4%9EU%20BELLO%2A%20%C3%BCr%C3%BCn%C3%BC%20hakk%C4%B1nda%20bilgi%20almak%20istiyorum.</v>
      </c>
    </row>
    <row r="416" spans="1:7" x14ac:dyDescent="0.25">
      <c r="A416" t="s">
        <v>326</v>
      </c>
      <c r="B416" s="1">
        <v>7200</v>
      </c>
      <c r="C416" t="s">
        <v>0</v>
      </c>
      <c r="D416" t="s">
        <v>871</v>
      </c>
      <c r="E416" t="s">
        <v>1400</v>
      </c>
      <c r="F416" t="s">
        <v>1143</v>
      </c>
      <c r="G416" t="str">
        <f t="shared" si="6"/>
        <v>https://wa.me/905425127759?text=%2ASEKRETER%20KOLTU%C4%9EU%20%C3%87%C4%B0ZG%C4%B0%20M%C3%9CD%C3%9CR%2A%20%C3%BCr%C3%BCn%C3%BC%20hakk%C4%B1nda%20bilgi%20almak%20istiyorum.</v>
      </c>
    </row>
    <row r="417" spans="1:7" x14ac:dyDescent="0.25">
      <c r="A417" t="s">
        <v>327</v>
      </c>
      <c r="B417" s="1">
        <v>0</v>
      </c>
      <c r="C417" t="s">
        <v>0</v>
      </c>
      <c r="D417" t="s">
        <v>871</v>
      </c>
      <c r="E417" t="s">
        <v>1400</v>
      </c>
      <c r="F417" t="s">
        <v>1144</v>
      </c>
      <c r="G417" t="str">
        <f t="shared" si="6"/>
        <v>https://wa.me/905425127759?text=%2ASEKRETER%20KOLTU%C4%9EU%20ERC%C4%B0YES%20M%C3%9CD%C3%9CR%2A%20%C3%BCr%C3%BCn%C3%BC%20hakk%C4%B1nda%20bilgi%20almak%20istiyorum.</v>
      </c>
    </row>
    <row r="418" spans="1:7" x14ac:dyDescent="0.25">
      <c r="A418" t="s">
        <v>328</v>
      </c>
      <c r="B418" s="1">
        <v>4950</v>
      </c>
      <c r="C418" t="s">
        <v>0</v>
      </c>
      <c r="D418" t="s">
        <v>871</v>
      </c>
      <c r="E418" t="s">
        <v>1400</v>
      </c>
      <c r="F418" t="s">
        <v>1145</v>
      </c>
      <c r="G418" t="str">
        <f t="shared" si="6"/>
        <v>https://wa.me/905425127759?text=%2ASEKRETER%20KOLTU%C4%9EU%20EVO%20HAREKETL%C4%B0%20M%C3%9CD%C3%9CR%2A%20%C3%BCr%C3%BCn%C3%BC%20hakk%C4%B1nda%20bilgi%20almak%20istiyorum.</v>
      </c>
    </row>
    <row r="419" spans="1:7" x14ac:dyDescent="0.25">
      <c r="A419" t="s">
        <v>332</v>
      </c>
      <c r="B419" s="1">
        <v>4950</v>
      </c>
      <c r="C419" t="s">
        <v>0</v>
      </c>
      <c r="D419" t="s">
        <v>871</v>
      </c>
      <c r="E419" t="s">
        <v>1400</v>
      </c>
      <c r="F419" t="s">
        <v>2485</v>
      </c>
      <c r="G419" t="str">
        <f t="shared" si="6"/>
        <v>https://wa.me/905425127759?text=%2ASEKRETER%20KOLTU%C4%9EU%20EVO%20SAB%C4%B0T%20BA%C5%9ELIK%2A%20%C3%BCr%C3%BCn%C3%BC%20hakk%C4%B1nda%20bilgi%20almak%20istiyorum.</v>
      </c>
    </row>
    <row r="420" spans="1:7" x14ac:dyDescent="0.25">
      <c r="A420" t="s">
        <v>329</v>
      </c>
      <c r="B420" s="1">
        <v>0</v>
      </c>
      <c r="C420" t="s">
        <v>0</v>
      </c>
      <c r="D420" t="s">
        <v>871</v>
      </c>
      <c r="E420" t="s">
        <v>1400</v>
      </c>
      <c r="F420" t="s">
        <v>1146</v>
      </c>
      <c r="G420" t="str">
        <f t="shared" si="6"/>
        <v>https://wa.me/905425127759?text=%2ASEKRETER%20KOLTU%C4%9EU%20KONFOR%2A%20%C3%BCr%C3%BCn%C3%BC%20hakk%C4%B1nda%20bilgi%20almak%20istiyorum.</v>
      </c>
    </row>
    <row r="421" spans="1:7" x14ac:dyDescent="0.25">
      <c r="A421" t="s">
        <v>330</v>
      </c>
      <c r="B421" s="1">
        <v>0</v>
      </c>
      <c r="C421" t="s">
        <v>0</v>
      </c>
      <c r="D421" t="s">
        <v>871</v>
      </c>
      <c r="E421" t="s">
        <v>1400</v>
      </c>
      <c r="F421" t="s">
        <v>1147</v>
      </c>
      <c r="G421" t="str">
        <f t="shared" si="6"/>
        <v>https://wa.me/905425127759?text=%2ASEKRETER%20KOLTU%C4%9EU%20M%C3%9CD%C3%9CR%20EKO%2A%20%C3%BCr%C3%BCn%C3%BC%20hakk%C4%B1nda%20bilgi%20almak%20istiyorum.</v>
      </c>
    </row>
    <row r="422" spans="1:7" x14ac:dyDescent="0.25">
      <c r="A422" t="s">
        <v>331</v>
      </c>
      <c r="B422" s="1">
        <v>7500</v>
      </c>
      <c r="C422" t="s">
        <v>0</v>
      </c>
      <c r="D422" t="s">
        <v>871</v>
      </c>
      <c r="E422" t="s">
        <v>1400</v>
      </c>
      <c r="F422" t="s">
        <v>1148</v>
      </c>
      <c r="G422" t="str">
        <f t="shared" si="6"/>
        <v>https://wa.me/905425127759?text=%2ASEKRETER%20KOLTU%C4%9EU%20P%C4%B0RAM%C4%B0T%2A%20%C3%BCr%C3%BCn%C3%BC%20hakk%C4%B1nda%20bilgi%20almak%20istiyorum.</v>
      </c>
    </row>
    <row r="423" spans="1:7" x14ac:dyDescent="0.25">
      <c r="A423" t="s">
        <v>333</v>
      </c>
      <c r="B423" s="1">
        <v>6750</v>
      </c>
      <c r="C423" t="s">
        <v>0</v>
      </c>
      <c r="D423" t="s">
        <v>871</v>
      </c>
      <c r="E423" t="s">
        <v>1400</v>
      </c>
      <c r="F423" t="s">
        <v>1149</v>
      </c>
      <c r="G423" t="str">
        <f t="shared" si="6"/>
        <v>https://wa.me/905425127759?text=%2ASEKRETER%20KOLTU%C4%9EU%20SILA%20M%C3%9CD%C3%9CR%2A%20%C3%BCr%C3%BCn%C3%BC%20hakk%C4%B1nda%20bilgi%20almak%20istiyorum.</v>
      </c>
    </row>
    <row r="424" spans="1:7" x14ac:dyDescent="0.25">
      <c r="A424" t="s">
        <v>334</v>
      </c>
      <c r="B424" s="1">
        <v>3600</v>
      </c>
      <c r="C424" t="s">
        <v>0</v>
      </c>
      <c r="D424" t="s">
        <v>871</v>
      </c>
      <c r="E424" t="s">
        <v>1400</v>
      </c>
      <c r="F424" t="s">
        <v>1150</v>
      </c>
      <c r="G424" t="str">
        <f t="shared" si="6"/>
        <v>https://wa.me/905425127759?text=%2ASEKRETER%20KOLTU%C4%9EU%20UZAY%2A%20%C3%BCr%C3%BCn%C3%BC%20hakk%C4%B1nda%20bilgi%20almak%20istiyorum.</v>
      </c>
    </row>
    <row r="425" spans="1:7" x14ac:dyDescent="0.25">
      <c r="A425" t="s">
        <v>335</v>
      </c>
      <c r="B425" s="1">
        <v>0</v>
      </c>
      <c r="C425" t="s">
        <v>0</v>
      </c>
      <c r="D425" t="s">
        <v>871</v>
      </c>
      <c r="E425" t="s">
        <v>1400</v>
      </c>
      <c r="F425" t="s">
        <v>1151</v>
      </c>
      <c r="G425" t="str">
        <f t="shared" si="6"/>
        <v>https://wa.me/905425127759?text=%2ASEKRETER%20KOLTU%C4%9EU%20YILDIZ%2A%20%C3%BCr%C3%BCn%C3%BC%20hakk%C4%B1nda%20bilgi%20almak%20istiyorum.</v>
      </c>
    </row>
    <row r="426" spans="1:7" x14ac:dyDescent="0.25">
      <c r="A426" t="s">
        <v>839</v>
      </c>
      <c r="B426" s="1">
        <v>10000</v>
      </c>
      <c r="C426" t="s">
        <v>0</v>
      </c>
      <c r="D426" t="s">
        <v>871</v>
      </c>
      <c r="E426" t="s">
        <v>1400</v>
      </c>
      <c r="F426" t="s">
        <v>2486</v>
      </c>
      <c r="G426" t="str">
        <f t="shared" si="6"/>
        <v>https://wa.me/905425127759?text=%2A%C5%9E%C4%B0FONYER%20AYNALI%20%28%C4%B0ST%29%2A%20%C3%BCr%C3%BCn%C3%BC%20hakk%C4%B1nda%20bilgi%20almak%20istiyorum.</v>
      </c>
    </row>
    <row r="427" spans="1:7" x14ac:dyDescent="0.25">
      <c r="A427" t="s">
        <v>663</v>
      </c>
      <c r="B427" s="1">
        <v>6000</v>
      </c>
      <c r="C427" t="s">
        <v>0</v>
      </c>
      <c r="D427" t="s">
        <v>871</v>
      </c>
      <c r="E427" t="s">
        <v>1400</v>
      </c>
      <c r="F427" t="s">
        <v>1152</v>
      </c>
      <c r="G427" t="str">
        <f t="shared" si="6"/>
        <v>https://wa.me/905425127759?text=%2ATV%20SEHPASI%20140%20CM%20PRMT%2A%20%C3%BCr%C3%BCn%C3%BC%20hakk%C4%B1nda%20bilgi%20almak%20istiyorum.</v>
      </c>
    </row>
    <row r="428" spans="1:7" x14ac:dyDescent="0.25">
      <c r="A428" t="s">
        <v>675</v>
      </c>
      <c r="B428" s="1">
        <v>3500</v>
      </c>
      <c r="C428" t="s">
        <v>0</v>
      </c>
      <c r="D428" t="s">
        <v>871</v>
      </c>
      <c r="E428" t="s">
        <v>1400</v>
      </c>
      <c r="F428" t="s">
        <v>1154</v>
      </c>
      <c r="G428" t="str">
        <f t="shared" si="6"/>
        <v>https://wa.me/905425127759?text=%2ATV%20SEHPASI%20CANIPEK%2A%20%C3%BCr%C3%BCn%C3%BC%20hakk%C4%B1nda%20bilgi%20almak%20istiyorum.</v>
      </c>
    </row>
    <row r="429" spans="1:7" x14ac:dyDescent="0.25">
      <c r="A429" t="s">
        <v>668</v>
      </c>
      <c r="B429" s="1">
        <v>8000</v>
      </c>
      <c r="C429" t="s">
        <v>0</v>
      </c>
      <c r="D429" t="s">
        <v>871</v>
      </c>
      <c r="E429" t="s">
        <v>1400</v>
      </c>
      <c r="F429" t="s">
        <v>2392</v>
      </c>
      <c r="G429" t="str">
        <f t="shared" si="6"/>
        <v>https://wa.me/905425127759?text=%2ATV%20SEHPASI%20YEKTA%20MAGNUM%20AYTA%C5%9EI%2A%20%C3%BCr%C3%BCn%C3%BC%20hakk%C4%B1nda%20bilgi%20almak%20istiyorum.</v>
      </c>
    </row>
    <row r="430" spans="1:7" x14ac:dyDescent="0.25">
      <c r="A430" t="s">
        <v>341</v>
      </c>
      <c r="B430" s="1">
        <v>16000</v>
      </c>
      <c r="C430" t="s">
        <v>0</v>
      </c>
      <c r="D430" t="s">
        <v>871</v>
      </c>
      <c r="E430" t="s">
        <v>1400</v>
      </c>
      <c r="F430" t="s">
        <v>2487</v>
      </c>
      <c r="G430" t="str">
        <f t="shared" si="6"/>
        <v>https://wa.me/905425127759?text=%2ATV%20%C3%9CN%C4%B0TES%C4%B0%20%C5%9E%C3%96M%C4%B0NEL%C4%B0%20D%C3%96%C5%9EEMEL%C4%B0%20%2A%20%C3%BCr%C3%BCn%C3%BC%20hakk%C4%B1nda%20bilgi%20almak%20istiyorum.</v>
      </c>
    </row>
    <row r="431" spans="1:7" x14ac:dyDescent="0.25">
      <c r="A431" t="s">
        <v>858</v>
      </c>
      <c r="B431" s="1">
        <v>9600</v>
      </c>
      <c r="C431" t="s">
        <v>0</v>
      </c>
      <c r="D431" t="s">
        <v>871</v>
      </c>
      <c r="E431" t="s">
        <v>1400</v>
      </c>
      <c r="F431" t="s">
        <v>1176</v>
      </c>
      <c r="G431" t="str">
        <f t="shared" si="6"/>
        <v>https://wa.me/905425127759?text=%2AVEST%C4%B0YER%20%28%C4%B0ST%29%2A%20%C3%BCr%C3%BCn%C3%BC%20hakk%C4%B1nda%20bilgi%20almak%20istiyorum.</v>
      </c>
    </row>
    <row r="432" spans="1:7" x14ac:dyDescent="0.25">
      <c r="A432" t="s">
        <v>847</v>
      </c>
      <c r="B432" s="1">
        <v>9000</v>
      </c>
      <c r="C432" t="s">
        <v>0</v>
      </c>
      <c r="D432" t="s">
        <v>871</v>
      </c>
      <c r="E432" t="s">
        <v>1400</v>
      </c>
      <c r="F432" t="s">
        <v>1166</v>
      </c>
      <c r="G432" t="str">
        <f t="shared" si="6"/>
        <v>https://wa.me/905425127759?text=%2AVEST%C4%B0YER%20RETRO%20%28PYRZ%29%2A%20%C3%BCr%C3%BCn%C3%BC%20hakk%C4%B1nda%20bilgi%20almak%20istiyorum.</v>
      </c>
    </row>
    <row r="433" spans="1:7" x14ac:dyDescent="0.25">
      <c r="A433" t="s">
        <v>797</v>
      </c>
      <c r="B433" s="1">
        <v>3500</v>
      </c>
      <c r="C433" t="s">
        <v>0</v>
      </c>
      <c r="D433" t="s">
        <v>870</v>
      </c>
      <c r="E433" t="s">
        <v>1400</v>
      </c>
      <c r="F433" t="s">
        <v>1251</v>
      </c>
      <c r="G433" t="str">
        <f t="shared" si="6"/>
        <v>https://wa.me/905425127759?text=%2AMASA%2070%2A110%20BAH%C3%87E%20SET%2A%20%C3%BCr%C3%BCn%C3%BC%20hakk%C4%B1nda%20bilgi%20almak%20istiyorum.</v>
      </c>
    </row>
    <row r="434" spans="1:7" x14ac:dyDescent="0.25">
      <c r="A434" t="s">
        <v>232</v>
      </c>
      <c r="B434" s="1">
        <v>1000</v>
      </c>
      <c r="C434" t="s">
        <v>0</v>
      </c>
      <c r="D434" t="s">
        <v>870</v>
      </c>
      <c r="E434" t="s">
        <v>1400</v>
      </c>
      <c r="F434" t="s">
        <v>1179</v>
      </c>
      <c r="G434" t="str">
        <f t="shared" si="6"/>
        <v>https://wa.me/905425127759?text=%2AMASA%20AYA%C4%9EI%20BOYALI%2A%20%C3%BCr%C3%BCn%C3%BC%20hakk%C4%B1nda%20bilgi%20almak%20istiyorum.</v>
      </c>
    </row>
    <row r="435" spans="1:7" x14ac:dyDescent="0.25">
      <c r="A435" t="s">
        <v>238</v>
      </c>
      <c r="B435" s="1">
        <v>13000</v>
      </c>
      <c r="C435" t="s">
        <v>0</v>
      </c>
      <c r="D435" t="s">
        <v>870</v>
      </c>
      <c r="E435" t="s">
        <v>1400</v>
      </c>
      <c r="F435" t="s">
        <v>1186</v>
      </c>
      <c r="G435" t="str">
        <f t="shared" si="6"/>
        <v>https://wa.me/905425127759?text=%2AMASA%20BOHEM%20KOCABAY%2A%20%C3%BCr%C3%BCn%C3%BC%20hakk%C4%B1nda%20bilgi%20almak%20istiyorum.</v>
      </c>
    </row>
    <row r="436" spans="1:7" x14ac:dyDescent="0.25">
      <c r="A436" t="s">
        <v>248</v>
      </c>
      <c r="B436" s="1">
        <v>5000</v>
      </c>
      <c r="C436" t="s">
        <v>0</v>
      </c>
      <c r="D436" t="s">
        <v>870</v>
      </c>
      <c r="E436" t="s">
        <v>1400</v>
      </c>
      <c r="F436" t="s">
        <v>1195</v>
      </c>
      <c r="G436" t="str">
        <f t="shared" si="6"/>
        <v>https://wa.me/905425127759?text=%2AMASA%20BOHEM%20YUVARLAK%2A%20%C3%BCr%C3%BCn%C3%BC%20hakk%C4%B1nda%20bilgi%20almak%20istiyorum.</v>
      </c>
    </row>
    <row r="437" spans="1:7" x14ac:dyDescent="0.25">
      <c r="A437" t="s">
        <v>245</v>
      </c>
      <c r="B437" s="1">
        <v>12600</v>
      </c>
      <c r="C437" t="s">
        <v>0</v>
      </c>
      <c r="D437" t="s">
        <v>870</v>
      </c>
      <c r="E437" t="s">
        <v>1400</v>
      </c>
      <c r="F437" t="s">
        <v>1192</v>
      </c>
      <c r="G437" t="str">
        <f t="shared" si="6"/>
        <v>https://wa.me/905425127759?text=%2AMASA%20COLOR%20OTOMAT%C4%B0K%20SOHO%20%28FYZ%29%2A%20%C3%BCr%C3%BCn%C3%BC%20hakk%C4%B1nda%20bilgi%20almak%20istiyorum.</v>
      </c>
    </row>
    <row r="438" spans="1:7" x14ac:dyDescent="0.25">
      <c r="A438" t="s">
        <v>760</v>
      </c>
      <c r="B438" s="1">
        <v>15000</v>
      </c>
      <c r="C438" t="s">
        <v>0</v>
      </c>
      <c r="D438" t="s">
        <v>870</v>
      </c>
      <c r="E438" t="s">
        <v>1400</v>
      </c>
      <c r="F438" t="s">
        <v>1244</v>
      </c>
      <c r="G438" t="str">
        <f t="shared" si="6"/>
        <v>https://wa.me/905425127759?text=%2AMASA%20ESTELYA%20%28FYZ%29%2A%20%C3%BCr%C3%BCn%C3%BC%20hakk%C4%B1nda%20bilgi%20almak%20istiyorum.</v>
      </c>
    </row>
    <row r="439" spans="1:7" x14ac:dyDescent="0.25">
      <c r="A439" t="s">
        <v>233</v>
      </c>
      <c r="B439" s="1">
        <v>1450</v>
      </c>
      <c r="C439" t="s">
        <v>0</v>
      </c>
      <c r="D439" t="s">
        <v>870</v>
      </c>
      <c r="E439" t="s">
        <v>1400</v>
      </c>
      <c r="F439" t="s">
        <v>1180</v>
      </c>
      <c r="G439" t="str">
        <f t="shared" si="6"/>
        <v>https://wa.me/905425127759?text=%2AMASA%20KATLANIR%2040%2A60%20VERZAL%C4%B0T%2A%20%C3%BCr%C3%BCn%C3%BC%20hakk%C4%B1nda%20bilgi%20almak%20istiyorum.</v>
      </c>
    </row>
    <row r="440" spans="1:7" x14ac:dyDescent="0.25">
      <c r="A440" t="s">
        <v>860</v>
      </c>
      <c r="B440" s="1">
        <v>1500</v>
      </c>
      <c r="C440" t="s">
        <v>0</v>
      </c>
      <c r="D440" t="s">
        <v>870</v>
      </c>
      <c r="E440" t="s">
        <v>1400</v>
      </c>
      <c r="F440" t="s">
        <v>1181</v>
      </c>
      <c r="G440" t="str">
        <f t="shared" si="6"/>
        <v>https://wa.me/905425127759?text=%2AMASA%20KATLANIR%2050%2A70%20VERZAL%C4%B0T%2A%20%C3%BCr%C3%BCn%C3%BC%20hakk%C4%B1nda%20bilgi%20almak%20istiyorum.</v>
      </c>
    </row>
    <row r="441" spans="1:7" x14ac:dyDescent="0.25">
      <c r="A441" t="s">
        <v>234</v>
      </c>
      <c r="B441" s="1">
        <v>1900</v>
      </c>
      <c r="C441" t="s">
        <v>0</v>
      </c>
      <c r="D441" t="s">
        <v>870</v>
      </c>
      <c r="E441" t="s">
        <v>1400</v>
      </c>
      <c r="F441" t="s">
        <v>1182</v>
      </c>
      <c r="G441" t="str">
        <f t="shared" si="6"/>
        <v>https://wa.me/905425127759?text=%2AMASA%20KATLANIR%2060%2A110%20VERZAL%C4%B0T%2A%20%C3%BCr%C3%BCn%C3%BC%20hakk%C4%B1nda%20bilgi%20almak%20istiyorum.</v>
      </c>
    </row>
    <row r="442" spans="1:7" x14ac:dyDescent="0.25">
      <c r="A442" t="s">
        <v>235</v>
      </c>
      <c r="B442" s="1">
        <v>1500</v>
      </c>
      <c r="C442" t="s">
        <v>0</v>
      </c>
      <c r="D442" t="s">
        <v>870</v>
      </c>
      <c r="E442" t="s">
        <v>1400</v>
      </c>
      <c r="F442" t="s">
        <v>1183</v>
      </c>
      <c r="G442" t="str">
        <f t="shared" si="6"/>
        <v>https://wa.me/905425127759?text=%2AMASA%20KATLANIR%2060%2A60%20VERZAL%C4%B0T%2A%20%C3%BCr%C3%BCn%C3%BC%20hakk%C4%B1nda%20bilgi%20almak%20istiyorum.</v>
      </c>
    </row>
    <row r="443" spans="1:7" x14ac:dyDescent="0.25">
      <c r="A443" t="s">
        <v>236</v>
      </c>
      <c r="B443" s="1">
        <v>1800</v>
      </c>
      <c r="C443" t="s">
        <v>0</v>
      </c>
      <c r="D443" t="s">
        <v>870</v>
      </c>
      <c r="E443" t="s">
        <v>1400</v>
      </c>
      <c r="F443" t="s">
        <v>1184</v>
      </c>
      <c r="G443" t="str">
        <f t="shared" si="6"/>
        <v>https://wa.me/905425127759?text=%2AMASA%20KATLANIR%2060%2A90%20VERZAL%C4%B0T%2A%20%C3%BCr%C3%BCn%C3%BC%20hakk%C4%B1nda%20bilgi%20almak%20istiyorum.</v>
      </c>
    </row>
    <row r="444" spans="1:7" x14ac:dyDescent="0.25">
      <c r="A444" t="s">
        <v>682</v>
      </c>
      <c r="B444" s="1">
        <v>2100</v>
      </c>
      <c r="C444" t="s">
        <v>0</v>
      </c>
      <c r="D444" t="s">
        <v>870</v>
      </c>
      <c r="E444" t="s">
        <v>1400</v>
      </c>
      <c r="F444" t="s">
        <v>1236</v>
      </c>
      <c r="G444" t="str">
        <f t="shared" si="6"/>
        <v>https://wa.me/905425127759?text=%2AMASA%20KATLANIR%2070%2A120%20VERZAL%C4%B0T%2A%20%C3%BCr%C3%BCn%C3%BC%20hakk%C4%B1nda%20bilgi%20almak%20istiyorum.</v>
      </c>
    </row>
    <row r="445" spans="1:7" x14ac:dyDescent="0.25">
      <c r="A445" t="s">
        <v>237</v>
      </c>
      <c r="B445" s="1">
        <v>2600</v>
      </c>
      <c r="C445" t="s">
        <v>0</v>
      </c>
      <c r="D445" t="s">
        <v>870</v>
      </c>
      <c r="E445" t="s">
        <v>1400</v>
      </c>
      <c r="F445" t="s">
        <v>1185</v>
      </c>
      <c r="G445" t="str">
        <f t="shared" si="6"/>
        <v>https://wa.me/905425127759?text=%2AMASA%20KATLANIR%2080%2A140%20VERZAL%C4%B0T%2A%20%C3%BCr%C3%BCn%C3%BC%20hakk%C4%B1nda%20bilgi%20almak%20istiyorum.</v>
      </c>
    </row>
    <row r="446" spans="1:7" x14ac:dyDescent="0.25">
      <c r="A446" t="s">
        <v>230</v>
      </c>
      <c r="B446" s="1">
        <v>3500</v>
      </c>
      <c r="C446" t="s">
        <v>0</v>
      </c>
      <c r="D446" t="s">
        <v>870</v>
      </c>
      <c r="E446" t="s">
        <v>1400</v>
      </c>
      <c r="F446" t="s">
        <v>1178</v>
      </c>
      <c r="G446" t="str">
        <f t="shared" si="6"/>
        <v>https://wa.me/905425127759?text=%2AMASA%20KATLANIR%20TEKERLEKL%C4%B0%28YUSUF%29%2A%20%C3%BCr%C3%BCn%C3%BC%20hakk%C4%B1nda%20bilgi%20almak%20istiyorum.</v>
      </c>
    </row>
    <row r="447" spans="1:7" x14ac:dyDescent="0.25">
      <c r="A447" t="s">
        <v>239</v>
      </c>
      <c r="B447" s="1">
        <v>7000</v>
      </c>
      <c r="C447" t="s">
        <v>0</v>
      </c>
      <c r="D447" t="s">
        <v>870</v>
      </c>
      <c r="E447" t="s">
        <v>1400</v>
      </c>
      <c r="F447" t="s">
        <v>1187</v>
      </c>
      <c r="G447" t="str">
        <f t="shared" si="6"/>
        <v>https://wa.me/905425127759?text=%2AMASA%20K%C3%9CT%C3%9CK%20%2A%20%C3%BCr%C3%BCn%C3%BC%20hakk%C4%B1nda%20bilgi%20almak%20istiyorum.</v>
      </c>
    </row>
    <row r="448" spans="1:7" x14ac:dyDescent="0.25">
      <c r="A448" t="s">
        <v>1494</v>
      </c>
      <c r="B448" s="1">
        <v>13000</v>
      </c>
      <c r="C448" t="s">
        <v>0</v>
      </c>
      <c r="D448" t="s">
        <v>870</v>
      </c>
      <c r="E448" t="s">
        <v>1400</v>
      </c>
      <c r="F448" t="s">
        <v>2588</v>
      </c>
      <c r="G448" t="str">
        <f t="shared" si="6"/>
        <v>https://wa.me/905425127759?text=%2AMASA%20LAK%2080%2A130%20%20X%20AYAK%20S%C3%9CRG%C3%9CL%C3%9C%2A%20%C3%BCr%C3%BCn%C3%BC%20hakk%C4%B1nda%20bilgi%20almak%20istiyorum.</v>
      </c>
    </row>
    <row r="449" spans="1:7" x14ac:dyDescent="0.25">
      <c r="A449" t="s">
        <v>241</v>
      </c>
      <c r="B449" s="1">
        <v>13000</v>
      </c>
      <c r="C449" t="s">
        <v>0</v>
      </c>
      <c r="D449" t="s">
        <v>870</v>
      </c>
      <c r="E449" t="s">
        <v>1400</v>
      </c>
      <c r="F449" t="s">
        <v>1188</v>
      </c>
      <c r="G449" t="str">
        <f t="shared" ref="G449:G512" si="7">"https://wa.me/905425127759?text=" &amp; _xlfn.ENCODEURL("*" &amp; A449 &amp; "* ürünü hakkında bilgi almak istiyorum.")</f>
        <v>https://wa.me/905425127759?text=%2AMASA%20LAK%2080%2A130%20%20X%20AYAK%20S%C3%9CRG%C3%9CL%C3%9C%20CEV%C4%B0Z%2A%20%C3%BCr%C3%BCn%C3%BC%20hakk%C4%B1nda%20bilgi%20almak%20istiyorum.</v>
      </c>
    </row>
    <row r="450" spans="1:7" x14ac:dyDescent="0.25">
      <c r="A450" t="s">
        <v>717</v>
      </c>
      <c r="B450" s="1">
        <v>10000</v>
      </c>
      <c r="C450" t="s">
        <v>0</v>
      </c>
      <c r="D450" t="s">
        <v>870</v>
      </c>
      <c r="E450" t="s">
        <v>1400</v>
      </c>
      <c r="F450" t="s">
        <v>1242</v>
      </c>
      <c r="G450" t="str">
        <f t="shared" si="7"/>
        <v>https://wa.me/905425127759?text=%2AMASA%20LAK%20KELEBEK%2080%2A140%20%28FYZ%29%2A%20%C3%BCr%C3%BCn%C3%BC%20hakk%C4%B1nda%20bilgi%20almak%20istiyorum.</v>
      </c>
    </row>
    <row r="451" spans="1:7" x14ac:dyDescent="0.25">
      <c r="A451" t="s">
        <v>1496</v>
      </c>
      <c r="B451" s="1">
        <v>7000</v>
      </c>
      <c r="C451" t="s">
        <v>0</v>
      </c>
      <c r="D451" t="s">
        <v>870</v>
      </c>
      <c r="E451" t="s">
        <v>1400</v>
      </c>
      <c r="F451" t="s">
        <v>2589</v>
      </c>
      <c r="G451" t="str">
        <f t="shared" si="7"/>
        <v>https://wa.me/905425127759?text=%2AMASA%20MDF%20KELEBEK%2A%20%C3%BCr%C3%BCn%C3%BC%20hakk%C4%B1nda%20bilgi%20almak%20istiyorum.</v>
      </c>
    </row>
    <row r="452" spans="1:7" x14ac:dyDescent="0.25">
      <c r="A452" t="s">
        <v>763</v>
      </c>
      <c r="B452" s="1">
        <v>7000</v>
      </c>
      <c r="C452" t="s">
        <v>0</v>
      </c>
      <c r="D452" t="s">
        <v>870</v>
      </c>
      <c r="E452" t="s">
        <v>1400</v>
      </c>
      <c r="F452" t="s">
        <v>1246</v>
      </c>
      <c r="G452" t="str">
        <f t="shared" si="7"/>
        <v>https://wa.me/905425127759?text=%2AMASA%20MDF%20KELEBEK%20CARARA%20BEYAZ%20MERMER%2A%20%C3%BCr%C3%BCn%C3%BC%20hakk%C4%B1nda%20bilgi%20almak%20istiyorum.</v>
      </c>
    </row>
    <row r="453" spans="1:7" x14ac:dyDescent="0.25">
      <c r="A453" t="s">
        <v>793</v>
      </c>
      <c r="B453" s="1">
        <v>7000</v>
      </c>
      <c r="C453" t="s">
        <v>0</v>
      </c>
      <c r="D453" t="s">
        <v>870</v>
      </c>
      <c r="E453" t="s">
        <v>1400</v>
      </c>
      <c r="F453" t="s">
        <v>1250</v>
      </c>
      <c r="G453" t="str">
        <f t="shared" si="7"/>
        <v>https://wa.me/905425127759?text=%2AMASA%20MDF%20KELEBEK%20D%C3%9CZ%20KR%C4%B0STAL%2A%20%C3%BCr%C3%BCn%C3%BC%20hakk%C4%B1nda%20bilgi%20almak%20istiyorum.</v>
      </c>
    </row>
    <row r="454" spans="1:7" x14ac:dyDescent="0.25">
      <c r="A454" t="s">
        <v>664</v>
      </c>
      <c r="B454" s="1">
        <v>7000</v>
      </c>
      <c r="C454" t="s">
        <v>0</v>
      </c>
      <c r="D454" t="s">
        <v>870</v>
      </c>
      <c r="E454" t="s">
        <v>1400</v>
      </c>
      <c r="F454" t="s">
        <v>1231</v>
      </c>
      <c r="G454" t="str">
        <f t="shared" si="7"/>
        <v>https://wa.me/905425127759?text=%2AMASA%20MDF%20KELEBEK%20EFES%2A%20%C3%BCr%C3%BCn%C3%BC%20hakk%C4%B1nda%20bilgi%20almak%20istiyorum.</v>
      </c>
    </row>
    <row r="455" spans="1:7" x14ac:dyDescent="0.25">
      <c r="A455" t="s">
        <v>762</v>
      </c>
      <c r="B455" s="1">
        <v>7000</v>
      </c>
      <c r="C455" t="s">
        <v>0</v>
      </c>
      <c r="D455" t="s">
        <v>870</v>
      </c>
      <c r="E455" t="s">
        <v>1400</v>
      </c>
      <c r="F455" t="s">
        <v>1245</v>
      </c>
      <c r="G455" t="str">
        <f t="shared" si="7"/>
        <v>https://wa.me/905425127759?text=%2AMASA%20MDF%20KELEBEK%20GARD%C4%B0ON%20GR%C4%B0%20MERMER%2A%20%C3%BCr%C3%BCn%C3%BC%20hakk%C4%B1nda%20bilgi%20almak%20istiyorum.</v>
      </c>
    </row>
    <row r="456" spans="1:7" x14ac:dyDescent="0.25">
      <c r="A456" t="s">
        <v>792</v>
      </c>
      <c r="B456" s="1">
        <v>7000</v>
      </c>
      <c r="C456" t="s">
        <v>0</v>
      </c>
      <c r="D456" t="s">
        <v>870</v>
      </c>
      <c r="E456" t="s">
        <v>1400</v>
      </c>
      <c r="F456" t="s">
        <v>1249</v>
      </c>
      <c r="G456" t="str">
        <f t="shared" si="7"/>
        <v>https://wa.me/905425127759?text=%2AMASA%20MDF%20KELEBEK%20SONOMO%2A%20%C3%BCr%C3%BCn%C3%BC%20hakk%C4%B1nda%20bilgi%20almak%20istiyorum.</v>
      </c>
    </row>
    <row r="457" spans="1:7" x14ac:dyDescent="0.25">
      <c r="A457" t="s">
        <v>242</v>
      </c>
      <c r="B457" s="1">
        <v>10000</v>
      </c>
      <c r="C457" t="s">
        <v>0</v>
      </c>
      <c r="D457" t="s">
        <v>870</v>
      </c>
      <c r="E457" t="s">
        <v>1400</v>
      </c>
      <c r="F457" t="s">
        <v>1189</v>
      </c>
      <c r="G457" t="str">
        <f t="shared" si="7"/>
        <v>https://wa.me/905425127759?text=%2AMASA%20MDF%20TEK%20KANAT%20%28BZB%29%2A%20%C3%BCr%C3%BCn%C3%BC%20hakk%C4%B1nda%20bilgi%20almak%20istiyorum.</v>
      </c>
    </row>
    <row r="458" spans="1:7" x14ac:dyDescent="0.25">
      <c r="A458" t="s">
        <v>1500</v>
      </c>
      <c r="B458" s="1">
        <v>14000</v>
      </c>
      <c r="C458" t="s">
        <v>0</v>
      </c>
      <c r="D458" t="s">
        <v>870</v>
      </c>
      <c r="E458" t="s">
        <v>1400</v>
      </c>
      <c r="F458" t="s">
        <v>2590</v>
      </c>
      <c r="G458" t="str">
        <f t="shared" si="7"/>
        <v>https://wa.me/905425127759?text=%2AMASA%20MDF%20X%20AYAK%20S%C3%9CRG%C3%9CL%C3%9C%2A%20%C3%BCr%C3%BCn%C3%BC%20hakk%C4%B1nda%20bilgi%20almak%20istiyorum.</v>
      </c>
    </row>
    <row r="459" spans="1:7" x14ac:dyDescent="0.25">
      <c r="A459" t="s">
        <v>240</v>
      </c>
      <c r="B459" s="1">
        <v>14000</v>
      </c>
      <c r="C459" t="s">
        <v>0</v>
      </c>
      <c r="D459" t="s">
        <v>870</v>
      </c>
      <c r="E459" t="s">
        <v>1400</v>
      </c>
      <c r="F459" t="s">
        <v>2488</v>
      </c>
      <c r="G459" t="str">
        <f t="shared" si="7"/>
        <v>https://wa.me/905425127759?text=%2AMASA%20MDF%20X%20AYAK%20S%C3%9CRG%C3%9CL%C3%9C%20A.%C3%87AM%2FCEV%C4%B0Z%20CANIPEK%2A%20%C3%BCr%C3%BCn%C3%BC%20hakk%C4%B1nda%20bilgi%20almak%20istiyorum.</v>
      </c>
    </row>
    <row r="460" spans="1:7" x14ac:dyDescent="0.25">
      <c r="A460" t="s">
        <v>712</v>
      </c>
      <c r="B460" s="1">
        <v>14000</v>
      </c>
      <c r="C460" t="s">
        <v>0</v>
      </c>
      <c r="D460" t="s">
        <v>870</v>
      </c>
      <c r="E460" t="s">
        <v>1400</v>
      </c>
      <c r="F460" t="s">
        <v>2393</v>
      </c>
      <c r="G460" t="str">
        <f t="shared" si="7"/>
        <v>https://wa.me/905425127759?text=%2AMASA%20MDF%20X%20AYAK%20S%C3%9CRG%C3%9CL%C3%9C%20CARARA%2FB.MERMER%20CANIPEK%2A%20%C3%BCr%C3%BCn%C3%BC%20hakk%C4%B1nda%20bilgi%20almak%20istiyorum.</v>
      </c>
    </row>
    <row r="461" spans="1:7" x14ac:dyDescent="0.25">
      <c r="A461" t="s">
        <v>713</v>
      </c>
      <c r="B461" s="1">
        <v>14000</v>
      </c>
      <c r="C461" t="s">
        <v>0</v>
      </c>
      <c r="D461" t="s">
        <v>870</v>
      </c>
      <c r="E461" t="s">
        <v>1400</v>
      </c>
      <c r="F461" t="s">
        <v>1239</v>
      </c>
      <c r="G461" t="str">
        <f t="shared" si="7"/>
        <v>https://wa.me/905425127759?text=%2AMASA%20MDF%20X%20AYAK%20S%C3%9CRG%C3%9CL%C3%9C%20D%C3%9CZ%20BEYAZ%20%20CANIPEK%2A%20%C3%BCr%C3%BCn%C3%BC%20hakk%C4%B1nda%20bilgi%20almak%20istiyorum.</v>
      </c>
    </row>
    <row r="462" spans="1:7" x14ac:dyDescent="0.25">
      <c r="A462" t="s">
        <v>714</v>
      </c>
      <c r="B462" s="1">
        <v>14000</v>
      </c>
      <c r="C462" t="s">
        <v>0</v>
      </c>
      <c r="D462" t="s">
        <v>870</v>
      </c>
      <c r="E462" t="s">
        <v>1400</v>
      </c>
      <c r="F462" t="s">
        <v>1240</v>
      </c>
      <c r="G462" t="str">
        <f t="shared" si="7"/>
        <v>https://wa.me/905425127759?text=%2AMASA%20MDF%20X%20AYAK%20S%C3%9CRG%C3%9CL%C3%9C%20EFES%20CANIPEK%2A%20%C3%BCr%C3%BCn%C3%BC%20hakk%C4%B1nda%20bilgi%20almak%20istiyorum.</v>
      </c>
    </row>
    <row r="463" spans="1:7" x14ac:dyDescent="0.25">
      <c r="A463" t="s">
        <v>243</v>
      </c>
      <c r="B463" s="1">
        <v>16500</v>
      </c>
      <c r="C463" t="s">
        <v>0</v>
      </c>
      <c r="D463" t="s">
        <v>870</v>
      </c>
      <c r="E463" t="s">
        <v>1400</v>
      </c>
      <c r="F463" t="s">
        <v>1190</v>
      </c>
      <c r="G463" t="str">
        <f t="shared" si="7"/>
        <v>https://wa.me/905425127759?text=%2AMASA%20NOVA%20METAL%20AYAK%20FYZ%2A%20%C3%BCr%C3%BCn%C3%BC%20hakk%C4%B1nda%20bilgi%20almak%20istiyorum.</v>
      </c>
    </row>
    <row r="464" spans="1:7" x14ac:dyDescent="0.25">
      <c r="A464" t="s">
        <v>244</v>
      </c>
      <c r="B464" s="1">
        <v>16500</v>
      </c>
      <c r="C464" t="s">
        <v>0</v>
      </c>
      <c r="D464" t="s">
        <v>870</v>
      </c>
      <c r="E464" t="s">
        <v>1400</v>
      </c>
      <c r="F464" t="s">
        <v>1191</v>
      </c>
      <c r="G464" t="str">
        <f t="shared" si="7"/>
        <v>https://wa.me/905425127759?text=%2AMASA%20OL%C4%B0VA%20FYZ%2A%20%C3%BCr%C3%BCn%C3%BC%20hakk%C4%B1nda%20bilgi%20almak%20istiyorum.</v>
      </c>
    </row>
    <row r="465" spans="1:7" x14ac:dyDescent="0.25">
      <c r="A465" t="s">
        <v>249</v>
      </c>
      <c r="B465" s="1">
        <v>2600</v>
      </c>
      <c r="C465" t="s">
        <v>0</v>
      </c>
      <c r="D465" t="s">
        <v>870</v>
      </c>
      <c r="E465" t="s">
        <v>1400</v>
      </c>
      <c r="F465" t="s">
        <v>1196</v>
      </c>
      <c r="G465" t="str">
        <f t="shared" si="7"/>
        <v>https://wa.me/905425127759?text=%2AMASA%20PLAST%C4%B0K%2070%2A120%20TEAK%20KUTULU%2A%20%C3%BCr%C3%BCn%C3%BC%20hakk%C4%B1nda%20bilgi%20almak%20istiyorum.</v>
      </c>
    </row>
    <row r="466" spans="1:7" x14ac:dyDescent="0.25">
      <c r="A466" t="s">
        <v>1427</v>
      </c>
      <c r="B466" s="1">
        <v>2550</v>
      </c>
      <c r="C466" t="s">
        <v>0</v>
      </c>
      <c r="D466" t="s">
        <v>870</v>
      </c>
      <c r="E466" t="s">
        <v>1400</v>
      </c>
      <c r="F466" t="s">
        <v>2591</v>
      </c>
      <c r="G466" t="str">
        <f t="shared" si="7"/>
        <v>https://wa.me/905425127759?text=%2AMASA%20PLAST%C4%B0K%20PALM%C4%B0RA%2070%2A120%2A%20%C3%BCr%C3%BCn%C3%BC%20hakk%C4%B1nda%20bilgi%20almak%20istiyorum.</v>
      </c>
    </row>
    <row r="467" spans="1:7" x14ac:dyDescent="0.25">
      <c r="A467" t="s">
        <v>253</v>
      </c>
      <c r="B467" s="1">
        <v>4200</v>
      </c>
      <c r="C467" t="s">
        <v>0</v>
      </c>
      <c r="D467" t="s">
        <v>870</v>
      </c>
      <c r="E467" t="s">
        <v>1400</v>
      </c>
      <c r="F467" t="s">
        <v>1197</v>
      </c>
      <c r="G467" t="str">
        <f t="shared" si="7"/>
        <v>https://wa.me/905425127759?text=%2AMASA%20PLAST%C4%B0K%20RATTAN%2080%2A140%2A%20%C3%BCr%C3%BCn%C3%BC%20hakk%C4%B1nda%20bilgi%20almak%20istiyorum.</v>
      </c>
    </row>
    <row r="468" spans="1:7" x14ac:dyDescent="0.25">
      <c r="A468" t="s">
        <v>254</v>
      </c>
      <c r="B468" s="1">
        <v>5900</v>
      </c>
      <c r="C468" t="s">
        <v>0</v>
      </c>
      <c r="D468" t="s">
        <v>870</v>
      </c>
      <c r="E468" t="s">
        <v>1400</v>
      </c>
      <c r="F468" t="s">
        <v>1198</v>
      </c>
      <c r="G468" t="str">
        <f t="shared" si="7"/>
        <v>https://wa.me/905425127759?text=%2AMASA%20PLAST%C4%B0K%20RATTAN%2090%2A150%20ANTRAS%C4%B0T%2A%20%C3%BCr%C3%BCn%C3%BC%20hakk%C4%B1nda%20bilgi%20almak%20istiyorum.</v>
      </c>
    </row>
    <row r="469" spans="1:7" x14ac:dyDescent="0.25">
      <c r="A469" t="s">
        <v>255</v>
      </c>
      <c r="B469" s="1">
        <v>2700</v>
      </c>
      <c r="C469" t="s">
        <v>0</v>
      </c>
      <c r="D469" t="s">
        <v>870</v>
      </c>
      <c r="E469" t="s">
        <v>1400</v>
      </c>
      <c r="F469" t="s">
        <v>1199</v>
      </c>
      <c r="G469" t="str">
        <f t="shared" si="7"/>
        <v>https://wa.me/905425127759?text=%2AMASA%20PLAST%C4%B0K%20RATTAN%2090%2A90%2A%20%C3%BCr%C3%BCn%C3%BC%20hakk%C4%B1nda%20bilgi%20almak%20istiyorum.</v>
      </c>
    </row>
    <row r="470" spans="1:7" x14ac:dyDescent="0.25">
      <c r="A470" t="s">
        <v>1429</v>
      </c>
      <c r="B470" s="1">
        <v>6000</v>
      </c>
      <c r="C470" t="s">
        <v>0</v>
      </c>
      <c r="D470" t="s">
        <v>870</v>
      </c>
      <c r="E470" t="s">
        <v>1400</v>
      </c>
      <c r="F470" t="s">
        <v>2592</v>
      </c>
      <c r="G470" t="str">
        <f t="shared" si="7"/>
        <v>https://wa.me/905425127759?text=%2AMASA%20PLAST%C4%B0K%20RATTAN%20FLORYA%2090%2A150%2A%20%C3%BCr%C3%BCn%C3%BC%20hakk%C4%B1nda%20bilgi%20almak%20istiyorum.</v>
      </c>
    </row>
    <row r="471" spans="1:7" x14ac:dyDescent="0.25">
      <c r="A471" t="s">
        <v>261</v>
      </c>
      <c r="B471" s="1">
        <v>7200</v>
      </c>
      <c r="C471" t="s">
        <v>0</v>
      </c>
      <c r="D471" t="s">
        <v>870</v>
      </c>
      <c r="E471" t="s">
        <v>1400</v>
      </c>
      <c r="F471" t="s">
        <v>1202</v>
      </c>
      <c r="G471" t="str">
        <f t="shared" si="7"/>
        <v>https://wa.me/905425127759?text=%2AMASA%20S%C4%B0LVA%20KARE%20KOCABAY%2A%20%C3%BCr%C3%BCn%C3%BC%20hakk%C4%B1nda%20bilgi%20almak%20istiyorum.</v>
      </c>
    </row>
    <row r="472" spans="1:7" x14ac:dyDescent="0.25">
      <c r="A472" t="s">
        <v>260</v>
      </c>
      <c r="B472" s="1">
        <v>17000</v>
      </c>
      <c r="C472" t="s">
        <v>0</v>
      </c>
      <c r="D472" t="s">
        <v>870</v>
      </c>
      <c r="E472" t="s">
        <v>1400</v>
      </c>
      <c r="F472" t="s">
        <v>1201</v>
      </c>
      <c r="G472" t="str">
        <f t="shared" si="7"/>
        <v>https://wa.me/905425127759?text=%2AMASA%20S%C4%B0LVA%20K%C4%B0TABEL%C4%B0%20FYZ%2A%20%C3%BCr%C3%BCn%C3%BC%20hakk%C4%B1nda%20bilgi%20almak%20istiyorum.</v>
      </c>
    </row>
    <row r="473" spans="1:7" x14ac:dyDescent="0.25">
      <c r="A473" t="s">
        <v>759</v>
      </c>
      <c r="B473" s="1">
        <v>19000</v>
      </c>
      <c r="C473" t="s">
        <v>0</v>
      </c>
      <c r="D473" t="s">
        <v>870</v>
      </c>
      <c r="E473" t="s">
        <v>1400</v>
      </c>
      <c r="F473" t="s">
        <v>1243</v>
      </c>
      <c r="G473" t="str">
        <f t="shared" si="7"/>
        <v>https://wa.me/905425127759?text=%2AMASA%20S%C4%B0LVA%20K%C4%B0TABEL%C4%B0%20YARIM%20AYAK%20FYZ%2A%20%C3%BCr%C3%BCn%C3%BC%20hakk%C4%B1nda%20bilgi%20almak%20istiyorum.</v>
      </c>
    </row>
    <row r="474" spans="1:7" x14ac:dyDescent="0.25">
      <c r="A474" t="s">
        <v>262</v>
      </c>
      <c r="B474" s="1">
        <v>6000</v>
      </c>
      <c r="C474" t="s">
        <v>0</v>
      </c>
      <c r="D474" t="s">
        <v>870</v>
      </c>
      <c r="E474" t="s">
        <v>1400</v>
      </c>
      <c r="F474" t="s">
        <v>1203</v>
      </c>
      <c r="G474" t="str">
        <f t="shared" si="7"/>
        <v>https://wa.me/905425127759?text=%2AMASA%20S%C4%B0LVA%20OVAL%20KOCABAY%2A%20%C3%BCr%C3%BCn%C3%BC%20hakk%C4%B1nda%20bilgi%20almak%20istiyorum.</v>
      </c>
    </row>
    <row r="475" spans="1:7" x14ac:dyDescent="0.25">
      <c r="A475" t="s">
        <v>1431</v>
      </c>
      <c r="B475" s="1">
        <v>15000</v>
      </c>
      <c r="C475" t="s">
        <v>0</v>
      </c>
      <c r="D475" t="s">
        <v>870</v>
      </c>
      <c r="E475" t="s">
        <v>1400</v>
      </c>
      <c r="F475" t="s">
        <v>2593</v>
      </c>
      <c r="G475" t="str">
        <f t="shared" si="7"/>
        <v>https://wa.me/905425127759?text=%2AMASA%20S%C4%B0LVA%20SAB%C4%B0T%2A%20%C3%BCr%C3%BCn%C3%BC%20hakk%C4%B1nda%20bilgi%20almak%20istiyorum.</v>
      </c>
    </row>
    <row r="476" spans="1:7" x14ac:dyDescent="0.25">
      <c r="A476" t="s">
        <v>775</v>
      </c>
      <c r="B476" s="1">
        <v>15000</v>
      </c>
      <c r="C476" t="s">
        <v>0</v>
      </c>
      <c r="D476" t="s">
        <v>870</v>
      </c>
      <c r="E476" t="s">
        <v>1400</v>
      </c>
      <c r="F476" t="s">
        <v>1247</v>
      </c>
      <c r="G476" t="str">
        <f t="shared" si="7"/>
        <v>https://wa.me/905425127759?text=%2AMASA%20S%C4%B0LVA%20SAB%C4%B0T%20OFLU%2A%20%C3%BCr%C3%BCn%C3%BC%20hakk%C4%B1nda%20bilgi%20almak%20istiyorum.</v>
      </c>
    </row>
    <row r="477" spans="1:7" x14ac:dyDescent="0.25">
      <c r="A477" t="s">
        <v>263</v>
      </c>
      <c r="B477" s="1">
        <v>6000</v>
      </c>
      <c r="C477" t="s">
        <v>0</v>
      </c>
      <c r="D477" t="s">
        <v>870</v>
      </c>
      <c r="E477" t="s">
        <v>1400</v>
      </c>
      <c r="F477" t="s">
        <v>1204</v>
      </c>
      <c r="G477" t="str">
        <f t="shared" si="7"/>
        <v>https://wa.me/905425127759?text=%2AMASA%20S%C4%B0YAH%20MERMER%20KAR%C4%B0YER%2A%20%C3%BCr%C3%BCn%C3%BC%20hakk%C4%B1nda%20bilgi%20almak%20istiyorum.</v>
      </c>
    </row>
    <row r="478" spans="1:7" x14ac:dyDescent="0.25">
      <c r="A478" t="s">
        <v>798</v>
      </c>
      <c r="B478" s="1">
        <v>6000</v>
      </c>
      <c r="C478" t="s">
        <v>0</v>
      </c>
      <c r="D478" t="s">
        <v>870</v>
      </c>
      <c r="E478" t="s">
        <v>1400</v>
      </c>
      <c r="F478" t="s">
        <v>1252</v>
      </c>
      <c r="G478" t="str">
        <f t="shared" si="7"/>
        <v>https://wa.me/905425127759?text=%2AMASA%20SUNTA%20KELEBEK%2A%20%C3%BCr%C3%BCn%C3%BC%20hakk%C4%B1nda%20bilgi%20almak%20istiyorum.</v>
      </c>
    </row>
    <row r="479" spans="1:7" x14ac:dyDescent="0.25">
      <c r="A479" t="s">
        <v>1498</v>
      </c>
      <c r="B479" s="1">
        <v>5000</v>
      </c>
      <c r="C479" t="s">
        <v>0</v>
      </c>
      <c r="D479" t="s">
        <v>870</v>
      </c>
      <c r="E479" t="s">
        <v>1400</v>
      </c>
      <c r="F479" t="s">
        <v>2594</v>
      </c>
      <c r="G479" t="str">
        <f t="shared" si="7"/>
        <v>https://wa.me/905425127759?text=%2AMASA%20SUNTA%20SAB%C4%B0T%2A%20%C3%BCr%C3%BCn%C3%BC%20hakk%C4%B1nda%20bilgi%20almak%20istiyorum.</v>
      </c>
    </row>
    <row r="480" spans="1:7" x14ac:dyDescent="0.25">
      <c r="A480" t="s">
        <v>258</v>
      </c>
      <c r="B480" s="1">
        <v>5000</v>
      </c>
      <c r="C480" t="s">
        <v>0</v>
      </c>
      <c r="D480" t="s">
        <v>870</v>
      </c>
      <c r="E480" t="s">
        <v>1400</v>
      </c>
      <c r="F480" t="s">
        <v>1200</v>
      </c>
      <c r="G480" t="str">
        <f t="shared" si="7"/>
        <v>https://wa.me/905425127759?text=%2AMASA%20SUNTA%20SAB%C4%B0T%2070%2A110%20CEV%C4%B0Z%2A%20%C3%BCr%C3%BCn%C3%BC%20hakk%C4%B1nda%20bilgi%20almak%20istiyorum.</v>
      </c>
    </row>
    <row r="481" spans="1:7" x14ac:dyDescent="0.25">
      <c r="A481" t="s">
        <v>264</v>
      </c>
      <c r="B481" s="1">
        <v>19500</v>
      </c>
      <c r="C481" t="s">
        <v>0</v>
      </c>
      <c r="D481" t="s">
        <v>870</v>
      </c>
      <c r="E481" t="s">
        <v>1400</v>
      </c>
      <c r="F481" t="s">
        <v>1205</v>
      </c>
      <c r="G481" t="str">
        <f t="shared" si="7"/>
        <v>https://wa.me/905425127759?text=%2AMASA%20VALDERA%20%28FYZ%29%2A%20%C3%BCr%C3%BCn%C3%BC%20hakk%C4%B1nda%20bilgi%20almak%20istiyorum.</v>
      </c>
    </row>
    <row r="482" spans="1:7" x14ac:dyDescent="0.25">
      <c r="A482" t="s">
        <v>246</v>
      </c>
      <c r="B482" s="1">
        <v>13000</v>
      </c>
      <c r="C482" t="s">
        <v>0</v>
      </c>
      <c r="D482" t="s">
        <v>870</v>
      </c>
      <c r="E482" t="s">
        <v>1400</v>
      </c>
      <c r="F482" t="s">
        <v>1193</v>
      </c>
      <c r="G482" t="str">
        <f t="shared" si="7"/>
        <v>https://wa.me/905425127759?text=%2AMASA%20X%20AYAKLI%2080%2A130%20%28BZB%29%2A%20%C3%BCr%C3%BCn%C3%BC%20hakk%C4%B1nda%20bilgi%20almak%20istiyorum.</v>
      </c>
    </row>
    <row r="483" spans="1:7" x14ac:dyDescent="0.25">
      <c r="A483" t="s">
        <v>247</v>
      </c>
      <c r="B483" s="1">
        <v>15000</v>
      </c>
      <c r="C483" t="s">
        <v>0</v>
      </c>
      <c r="D483" t="s">
        <v>870</v>
      </c>
      <c r="E483" t="s">
        <v>1400</v>
      </c>
      <c r="F483" t="s">
        <v>1194</v>
      </c>
      <c r="G483" t="str">
        <f t="shared" si="7"/>
        <v>https://wa.me/905425127759?text=%2AMASA%20X%20AYAKLI%2090%2A150%20%28BZB%29%2A%20%C3%BCr%C3%BCn%C3%BC%20hakk%C4%B1nda%20bilgi%20almak%20istiyorum.</v>
      </c>
    </row>
    <row r="484" spans="1:7" x14ac:dyDescent="0.25">
      <c r="A484" t="s">
        <v>265</v>
      </c>
      <c r="B484" s="1">
        <v>4000</v>
      </c>
      <c r="C484" t="s">
        <v>0</v>
      </c>
      <c r="D484" t="s">
        <v>870</v>
      </c>
      <c r="E484" t="s">
        <v>1400</v>
      </c>
      <c r="F484" t="s">
        <v>2394</v>
      </c>
      <c r="G484" t="str">
        <f t="shared" si="7"/>
        <v>https://wa.me/905425127759?text=%2AMASA%20YUVARLAK%20ODABA%C5%9EI%2A%20%C3%BCr%C3%BCn%C3%BC%20hakk%C4%B1nda%20bilgi%20almak%20istiyorum.</v>
      </c>
    </row>
    <row r="485" spans="1:7" x14ac:dyDescent="0.25">
      <c r="A485" t="s">
        <v>269</v>
      </c>
      <c r="B485" s="1">
        <v>2800</v>
      </c>
      <c r="C485" t="s">
        <v>0</v>
      </c>
      <c r="D485" t="s">
        <v>870</v>
      </c>
      <c r="E485" t="s">
        <v>1400</v>
      </c>
      <c r="F485" t="s">
        <v>1207</v>
      </c>
      <c r="G485" t="str">
        <f t="shared" si="7"/>
        <v>https://wa.me/905425127759?text=%2AORTA%20SEHPA%2060%2A90%20TEKERLEKL%C4%B0%20SUVEREN%2A%20%C3%BCr%C3%BCn%C3%BC%20hakk%C4%B1nda%20bilgi%20almak%20istiyorum.</v>
      </c>
    </row>
    <row r="486" spans="1:7" x14ac:dyDescent="0.25">
      <c r="A486" t="s">
        <v>270</v>
      </c>
      <c r="B486" s="1">
        <v>3000</v>
      </c>
      <c r="C486" t="s">
        <v>0</v>
      </c>
      <c r="D486" t="s">
        <v>870</v>
      </c>
      <c r="E486" t="s">
        <v>1400</v>
      </c>
      <c r="F486" t="s">
        <v>1208</v>
      </c>
      <c r="G486" t="str">
        <f t="shared" si="7"/>
        <v>https://wa.me/905425127759?text=%2AORTA%20SEHPA%2070%2A110%20TEKERLEKL%C4%B0%20SUVEREN%2A%20%C3%BCr%C3%BCn%C3%BC%20hakk%C4%B1nda%20bilgi%20almak%20istiyorum.</v>
      </c>
    </row>
    <row r="487" spans="1:7" x14ac:dyDescent="0.25">
      <c r="A487" t="s">
        <v>271</v>
      </c>
      <c r="B487" s="1">
        <v>6400</v>
      </c>
      <c r="C487" t="s">
        <v>0</v>
      </c>
      <c r="D487" t="s">
        <v>870</v>
      </c>
      <c r="E487" t="s">
        <v>1400</v>
      </c>
      <c r="F487" t="s">
        <v>1209</v>
      </c>
      <c r="G487" t="str">
        <f t="shared" si="7"/>
        <v>https://wa.me/905425127759?text=%2AORTA%20SEHPA%20AKILLI%20TEKERL%C4%B0%2A%20%C3%BCr%C3%BCn%C3%BC%20hakk%C4%B1nda%20bilgi%20almak%20istiyorum.</v>
      </c>
    </row>
    <row r="488" spans="1:7" x14ac:dyDescent="0.25">
      <c r="A488" t="s">
        <v>272</v>
      </c>
      <c r="B488" s="1">
        <v>6200</v>
      </c>
      <c r="C488" t="s">
        <v>0</v>
      </c>
      <c r="D488" t="s">
        <v>870</v>
      </c>
      <c r="E488" t="s">
        <v>1400</v>
      </c>
      <c r="F488" t="s">
        <v>1210</v>
      </c>
      <c r="G488" t="str">
        <f t="shared" si="7"/>
        <v>https://wa.me/905425127759?text=%2AORTA%20SEHPA%20AKILLI%20TEKERS%C4%B0Z%2A%20%C3%BCr%C3%BCn%C3%BC%20hakk%C4%B1nda%20bilgi%20almak%20istiyorum.</v>
      </c>
    </row>
    <row r="489" spans="1:7" x14ac:dyDescent="0.25">
      <c r="A489" t="s">
        <v>273</v>
      </c>
      <c r="B489" s="1">
        <v>2600</v>
      </c>
      <c r="C489" t="s">
        <v>0</v>
      </c>
      <c r="D489" t="s">
        <v>870</v>
      </c>
      <c r="E489" t="s">
        <v>1400</v>
      </c>
      <c r="F489" t="s">
        <v>2395</v>
      </c>
      <c r="G489" t="str">
        <f t="shared" si="7"/>
        <v>https://wa.me/905425127759?text=%2AORTA%20SEHPA%20C%20AH%C5%9EAP%20TND%2A%20%C3%BCr%C3%BCn%C3%BC%20hakk%C4%B1nda%20bilgi%20almak%20istiyorum.</v>
      </c>
    </row>
    <row r="490" spans="1:7" x14ac:dyDescent="0.25">
      <c r="A490" t="s">
        <v>1480</v>
      </c>
      <c r="B490" s="1">
        <v>2300</v>
      </c>
      <c r="C490" t="s">
        <v>0</v>
      </c>
      <c r="D490" t="s">
        <v>870</v>
      </c>
      <c r="E490" t="s">
        <v>1400</v>
      </c>
      <c r="F490" t="s">
        <v>2595</v>
      </c>
      <c r="G490" t="str">
        <f t="shared" si="7"/>
        <v>https://wa.me/905425127759?text=%2AORTA%20SEHPA%20C%20CAMLI%20N%C4%B0KEL%20%2F%20GOLD%2A%20%C3%BCr%C3%BCn%C3%BC%20hakk%C4%B1nda%20bilgi%20almak%20istiyorum.</v>
      </c>
    </row>
    <row r="491" spans="1:7" x14ac:dyDescent="0.25">
      <c r="A491" t="s">
        <v>667</v>
      </c>
      <c r="B491" s="1">
        <v>3800</v>
      </c>
      <c r="C491" t="s">
        <v>0</v>
      </c>
      <c r="D491" t="s">
        <v>870</v>
      </c>
      <c r="E491" t="s">
        <v>1400</v>
      </c>
      <c r="F491" t="s">
        <v>1232</v>
      </c>
      <c r="G491" t="str">
        <f t="shared" si="7"/>
        <v>https://wa.me/905425127759?text=%2AORTA%20SEHPA%20CAMLI%2060%2A100%20ERALYA%2A%20%C3%BCr%C3%BCn%C3%BC%20hakk%C4%B1nda%20bilgi%20almak%20istiyorum.</v>
      </c>
    </row>
    <row r="492" spans="1:7" x14ac:dyDescent="0.25">
      <c r="A492" t="s">
        <v>1890</v>
      </c>
      <c r="B492" s="1">
        <v>3800</v>
      </c>
      <c r="C492" t="s">
        <v>0</v>
      </c>
      <c r="D492" t="s">
        <v>870</v>
      </c>
      <c r="E492" t="s">
        <v>1400</v>
      </c>
      <c r="F492" t="s">
        <v>2489</v>
      </c>
      <c r="G492" t="str">
        <f t="shared" si="7"/>
        <v>https://wa.me/905425127759?text=%2AORTA%20SEHPA%20CAMLI%2060%2A100%20TEKERLEKL%C4%B0%20MASSAN%2A%20%C3%BCr%C3%BCn%C3%BC%20hakk%C4%B1nda%20bilgi%20almak%20istiyorum.</v>
      </c>
    </row>
    <row r="493" spans="1:7" x14ac:dyDescent="0.25">
      <c r="A493" t="s">
        <v>1888</v>
      </c>
      <c r="B493" s="1">
        <v>4000</v>
      </c>
      <c r="C493" t="s">
        <v>0</v>
      </c>
      <c r="D493" t="s">
        <v>870</v>
      </c>
      <c r="E493" t="s">
        <v>1400</v>
      </c>
      <c r="F493" t="s">
        <v>2490</v>
      </c>
      <c r="G493" t="str">
        <f t="shared" si="7"/>
        <v>https://wa.me/905425127759?text=%2AORTA%20SEHPA%20CAMLI%2070%2A110%20TEKERLEKL%C4%B0%20%20MASSAN%2A%20%C3%BCr%C3%BCn%C3%BC%20hakk%C4%B1nda%20bilgi%20almak%20istiyorum.</v>
      </c>
    </row>
    <row r="494" spans="1:7" x14ac:dyDescent="0.25">
      <c r="A494" t="s">
        <v>1433</v>
      </c>
      <c r="B494" s="1">
        <v>8000</v>
      </c>
      <c r="C494" t="s">
        <v>0</v>
      </c>
      <c r="D494" t="s">
        <v>870</v>
      </c>
      <c r="E494" t="s">
        <v>1400</v>
      </c>
      <c r="F494" t="s">
        <v>2596</v>
      </c>
      <c r="G494" t="str">
        <f t="shared" si="7"/>
        <v>https://wa.me/905425127759?text=%2AORTA%20SEHPA%20HASIR%20C%20AH%C5%9EAP%20N%C4%B0KEL%20%2F%20GOLD%2A%20%C3%BCr%C3%BCn%C3%BC%20hakk%C4%B1nda%20bilgi%20almak%20istiyorum.</v>
      </c>
    </row>
    <row r="495" spans="1:7" x14ac:dyDescent="0.25">
      <c r="A495" t="s">
        <v>2577</v>
      </c>
      <c r="B495" s="1">
        <v>8000</v>
      </c>
      <c r="C495" t="s">
        <v>0</v>
      </c>
      <c r="D495" t="s">
        <v>870</v>
      </c>
      <c r="E495" t="s">
        <v>1400</v>
      </c>
      <c r="F495" t="s">
        <v>2597</v>
      </c>
      <c r="G495" t="str">
        <f t="shared" si="7"/>
        <v>https://wa.me/905425127759?text=%2AORTA%20SEHPA%20HASIR%20C%20CAMLI%20GOLD%2FN%C4%B0KEL%20ODABA%C5%9EI%2A%20%C3%BCr%C3%BCn%C3%BC%20hakk%C4%B1nda%20bilgi%20almak%20istiyorum.</v>
      </c>
    </row>
    <row r="496" spans="1:7" x14ac:dyDescent="0.25">
      <c r="A496" t="s">
        <v>1435</v>
      </c>
      <c r="B496" s="1">
        <v>10000</v>
      </c>
      <c r="C496" t="s">
        <v>0</v>
      </c>
      <c r="D496" t="s">
        <v>870</v>
      </c>
      <c r="E496" t="s">
        <v>1400</v>
      </c>
      <c r="F496" t="s">
        <v>2598</v>
      </c>
      <c r="G496" t="str">
        <f t="shared" si="7"/>
        <v>https://wa.me/905425127759?text=%2AORTA%20SEHPA%20%C4%B0ZM%C4%B0R%2A%20%C3%BCr%C3%BCn%C3%BC%20hakk%C4%B1nda%20bilgi%20almak%20istiyorum.</v>
      </c>
    </row>
    <row r="497" spans="1:7" x14ac:dyDescent="0.25">
      <c r="A497" t="s">
        <v>282</v>
      </c>
      <c r="B497" s="1">
        <v>8000</v>
      </c>
      <c r="C497" t="s">
        <v>0</v>
      </c>
      <c r="D497" t="s">
        <v>870</v>
      </c>
      <c r="E497" t="s">
        <v>1400</v>
      </c>
      <c r="F497" t="s">
        <v>1211</v>
      </c>
      <c r="G497" t="str">
        <f t="shared" si="7"/>
        <v>https://wa.me/905425127759?text=%2AORTA%20SEHPA%20KARE%20CAMLI%2A%20%C3%BCr%C3%BCn%C3%BC%20hakk%C4%B1nda%20bilgi%20almak%20istiyorum.</v>
      </c>
    </row>
    <row r="498" spans="1:7" x14ac:dyDescent="0.25">
      <c r="A498" t="s">
        <v>697</v>
      </c>
      <c r="B498" s="1">
        <v>9000</v>
      </c>
      <c r="C498" t="s">
        <v>0</v>
      </c>
      <c r="D498" t="s">
        <v>870</v>
      </c>
      <c r="E498" t="s">
        <v>1400</v>
      </c>
      <c r="F498" t="s">
        <v>2396</v>
      </c>
      <c r="G498" t="str">
        <f t="shared" si="7"/>
        <v>https://wa.me/905425127759?text=%2AORTA%20SEHPA%20KELEBEK%20AH%C5%9EAP%20KREM%2A%20%C3%BCr%C3%BCn%C3%BC%20hakk%C4%B1nda%20bilgi%20almak%20istiyorum.</v>
      </c>
    </row>
    <row r="499" spans="1:7" x14ac:dyDescent="0.25">
      <c r="A499" t="s">
        <v>690</v>
      </c>
      <c r="B499" s="1">
        <v>5200</v>
      </c>
      <c r="C499" t="s">
        <v>0</v>
      </c>
      <c r="D499" t="s">
        <v>870</v>
      </c>
      <c r="E499" t="s">
        <v>1400</v>
      </c>
      <c r="F499" t="s">
        <v>1237</v>
      </c>
      <c r="G499" t="str">
        <f t="shared" si="7"/>
        <v>https://wa.me/905425127759?text=%2AORTA%20SEHPA%20KU%C4%9EU%20GOLD%20CAMLI%20ALTINAKSESUAR%2A%20%C3%BCr%C3%BCn%C3%BC%20hakk%C4%B1nda%20bilgi%20almak%20istiyorum.</v>
      </c>
    </row>
    <row r="500" spans="1:7" x14ac:dyDescent="0.25">
      <c r="A500" t="s">
        <v>1474</v>
      </c>
      <c r="B500" s="1">
        <v>5200</v>
      </c>
      <c r="C500" t="s">
        <v>0</v>
      </c>
      <c r="D500" t="s">
        <v>870</v>
      </c>
      <c r="E500" t="s">
        <v>1400</v>
      </c>
      <c r="F500" t="s">
        <v>2599</v>
      </c>
      <c r="G500" t="str">
        <f t="shared" si="7"/>
        <v>https://wa.me/905425127759?text=%2AORTA%20SEHPA%20KU%C4%9EU%20N%C4%B0KEL%20%2F%20GOLD%20CAMLI%20ALFA%2A%20%C3%BCr%C3%BCn%C3%BC%20hakk%C4%B1nda%20bilgi%20almak%20istiyorum.</v>
      </c>
    </row>
    <row r="501" spans="1:7" x14ac:dyDescent="0.25">
      <c r="A501" t="s">
        <v>1437</v>
      </c>
      <c r="B501" s="1">
        <v>5200</v>
      </c>
      <c r="C501" t="s">
        <v>0</v>
      </c>
      <c r="D501" t="s">
        <v>870</v>
      </c>
      <c r="E501" t="s">
        <v>1400</v>
      </c>
      <c r="F501" t="s">
        <v>2600</v>
      </c>
      <c r="G501" t="str">
        <f t="shared" si="7"/>
        <v>https://wa.me/905425127759?text=%2AORTA%20SEHPA%20KU%C4%9EU%20N%C4%B0KEL%20%2F%20GOLD%20CAMLI%20ALTINAKSESUAR%2A%20%C3%BCr%C3%BCn%C3%BC%20hakk%C4%B1nda%20bilgi%20almak%20istiyorum.</v>
      </c>
    </row>
    <row r="502" spans="1:7" x14ac:dyDescent="0.25">
      <c r="A502" t="s">
        <v>268</v>
      </c>
      <c r="B502" s="1">
        <v>5200</v>
      </c>
      <c r="C502" t="s">
        <v>0</v>
      </c>
      <c r="D502" t="s">
        <v>870</v>
      </c>
      <c r="E502" t="s">
        <v>1400</v>
      </c>
      <c r="F502" t="s">
        <v>1206</v>
      </c>
      <c r="G502" t="str">
        <f t="shared" si="7"/>
        <v>https://wa.me/905425127759?text=%2AORTA%20SEHPA%20KU%C4%9EU%20N%C4%B0KEL%20CAMLI%20ALFA%2A%20%C3%BCr%C3%BCn%C3%BC%20hakk%C4%B1nda%20bilgi%20almak%20istiyorum.</v>
      </c>
    </row>
    <row r="503" spans="1:7" x14ac:dyDescent="0.25">
      <c r="A503" t="s">
        <v>284</v>
      </c>
      <c r="B503" s="1">
        <v>3000</v>
      </c>
      <c r="C503" t="s">
        <v>0</v>
      </c>
      <c r="D503" t="s">
        <v>870</v>
      </c>
      <c r="E503" t="s">
        <v>1400</v>
      </c>
      <c r="F503" t="s">
        <v>1212</v>
      </c>
      <c r="G503" t="str">
        <f t="shared" si="7"/>
        <v>https://wa.me/905425127759?text=%2AORTA%20SEHPA%20KUM%20SAAT%C4%B0%20CAMLI%2A%20%C3%BCr%C3%BCn%C3%BC%20hakk%C4%B1nda%20bilgi%20almak%20istiyorum.</v>
      </c>
    </row>
    <row r="504" spans="1:7" x14ac:dyDescent="0.25">
      <c r="A504" t="s">
        <v>285</v>
      </c>
      <c r="B504" s="1">
        <v>3000</v>
      </c>
      <c r="C504" t="s">
        <v>0</v>
      </c>
      <c r="D504" t="s">
        <v>870</v>
      </c>
      <c r="E504" t="s">
        <v>1400</v>
      </c>
      <c r="F504" t="s">
        <v>1213</v>
      </c>
      <c r="G504" t="str">
        <f t="shared" si="7"/>
        <v>https://wa.me/905425127759?text=%2AORTA%20SEHPA%20KUM%20SAAT%C4%B0%20HASIRLI%20CAMLI%2A%20%C3%BCr%C3%BCn%C3%BC%20hakk%C4%B1nda%20bilgi%20almak%20istiyorum.</v>
      </c>
    </row>
    <row r="505" spans="1:7" x14ac:dyDescent="0.25">
      <c r="A505" t="s">
        <v>286</v>
      </c>
      <c r="B505" s="1">
        <v>10000</v>
      </c>
      <c r="C505" t="s">
        <v>0</v>
      </c>
      <c r="D505" t="s">
        <v>870</v>
      </c>
      <c r="E505" t="s">
        <v>1400</v>
      </c>
      <c r="F505" t="s">
        <v>1214</v>
      </c>
      <c r="G505" t="str">
        <f t="shared" si="7"/>
        <v>https://wa.me/905425127759?text=%2AORTA%20SEHPA%20LUKENS%20%2A%20%C3%BCr%C3%BCn%C3%BC%20hakk%C4%B1nda%20bilgi%20almak%20istiyorum.</v>
      </c>
    </row>
    <row r="506" spans="1:7" x14ac:dyDescent="0.25">
      <c r="A506" t="s">
        <v>1439</v>
      </c>
      <c r="B506" s="1">
        <v>8000</v>
      </c>
      <c r="C506" t="s">
        <v>0</v>
      </c>
      <c r="D506" t="s">
        <v>870</v>
      </c>
      <c r="E506" t="s">
        <v>1400</v>
      </c>
      <c r="F506" t="s">
        <v>2601</v>
      </c>
      <c r="G506" t="str">
        <f t="shared" si="7"/>
        <v>https://wa.me/905425127759?text=%2AORTA%20SEHPA%20L%C3%9CKENS%20CANIPEK%2A%20%C3%BCr%C3%BCn%C3%BC%20hakk%C4%B1nda%20bilgi%20almak%20istiyorum.</v>
      </c>
    </row>
    <row r="507" spans="1:7" x14ac:dyDescent="0.25">
      <c r="A507" t="s">
        <v>290</v>
      </c>
      <c r="B507" s="1">
        <v>10000</v>
      </c>
      <c r="C507" t="s">
        <v>0</v>
      </c>
      <c r="D507" t="s">
        <v>870</v>
      </c>
      <c r="E507" t="s">
        <v>1400</v>
      </c>
      <c r="F507" t="s">
        <v>2397</v>
      </c>
      <c r="G507" t="str">
        <f t="shared" si="7"/>
        <v>https://wa.me/905425127759?text=%2AORTA%20SEHPA%20OTTO%20ODABA%C5%9EI%2A%20%C3%BCr%C3%BCn%C3%BC%20hakk%C4%B1nda%20bilgi%20almak%20istiyorum.</v>
      </c>
    </row>
    <row r="508" spans="1:7" x14ac:dyDescent="0.25">
      <c r="A508" t="s">
        <v>698</v>
      </c>
      <c r="B508" s="1">
        <v>9500</v>
      </c>
      <c r="C508" t="s">
        <v>0</v>
      </c>
      <c r="D508" t="s">
        <v>870</v>
      </c>
      <c r="E508" t="s">
        <v>1400</v>
      </c>
      <c r="F508" t="s">
        <v>1238</v>
      </c>
      <c r="G508" t="str">
        <f t="shared" si="7"/>
        <v>https://wa.me/905425127759?text=%2AORTA%20SEHPA%20P%C4%B0YANO%20MDF%20KARE%2A%20%C3%BCr%C3%BCn%C3%BC%20hakk%C4%B1nda%20bilgi%20almak%20istiyorum.</v>
      </c>
    </row>
    <row r="509" spans="1:7" x14ac:dyDescent="0.25">
      <c r="A509" t="s">
        <v>291</v>
      </c>
      <c r="B509" s="1">
        <v>9000</v>
      </c>
      <c r="C509" t="s">
        <v>0</v>
      </c>
      <c r="D509" t="s">
        <v>870</v>
      </c>
      <c r="E509" t="s">
        <v>1400</v>
      </c>
      <c r="F509" t="s">
        <v>1215</v>
      </c>
      <c r="G509" t="str">
        <f t="shared" si="7"/>
        <v>https://wa.me/905425127759?text=%2AORTA%20SEHPA%20P%C4%B0YANO%20MDF%20YUVARLAK%2A%20%C3%BCr%C3%BCn%C3%BC%20hakk%C4%B1nda%20bilgi%20almak%20istiyorum.</v>
      </c>
    </row>
    <row r="510" spans="1:7" x14ac:dyDescent="0.25">
      <c r="A510" t="s">
        <v>292</v>
      </c>
      <c r="B510" s="1">
        <v>3500</v>
      </c>
      <c r="C510" t="s">
        <v>0</v>
      </c>
      <c r="D510" t="s">
        <v>870</v>
      </c>
      <c r="E510" t="s">
        <v>1400</v>
      </c>
      <c r="F510" t="s">
        <v>1216</v>
      </c>
      <c r="G510" t="str">
        <f t="shared" si="7"/>
        <v>https://wa.me/905425127759?text=%2AORTA%20SEHPA%20POTA%20%2A%20%C3%BCr%C3%BCn%C3%BC%20hakk%C4%B1nda%20bilgi%20almak%20istiyorum.</v>
      </c>
    </row>
    <row r="511" spans="1:7" x14ac:dyDescent="0.25">
      <c r="A511" t="s">
        <v>293</v>
      </c>
      <c r="B511" s="1">
        <v>10000</v>
      </c>
      <c r="C511" t="s">
        <v>0</v>
      </c>
      <c r="D511" t="s">
        <v>870</v>
      </c>
      <c r="E511" t="s">
        <v>1400</v>
      </c>
      <c r="F511" t="s">
        <v>2398</v>
      </c>
      <c r="G511" t="str">
        <f t="shared" si="7"/>
        <v>https://wa.me/905425127759?text=%2AORTA%20SEHPA%20YA%C5%9EAM%204%2B1%20ODABA%C5%9EI%2A%20%C3%BCr%C3%BCn%C3%BC%20hakk%C4%B1nda%20bilgi%20almak%20istiyorum.</v>
      </c>
    </row>
    <row r="512" spans="1:7" x14ac:dyDescent="0.25">
      <c r="A512" t="s">
        <v>1484</v>
      </c>
      <c r="B512" s="1">
        <v>3600</v>
      </c>
      <c r="C512" t="s">
        <v>0</v>
      </c>
      <c r="D512" t="s">
        <v>870</v>
      </c>
      <c r="E512" t="s">
        <v>1400</v>
      </c>
      <c r="F512" t="s">
        <v>2602</v>
      </c>
      <c r="G512" t="str">
        <f t="shared" si="7"/>
        <v>https://wa.me/905425127759?text=%2ASANDALYE%20ADA%20AS%20HOME%20%2A%20%C3%BCr%C3%BCn%C3%BC%20hakk%C4%B1nda%20bilgi%20almak%20istiyorum.</v>
      </c>
    </row>
    <row r="513" spans="1:7" x14ac:dyDescent="0.25">
      <c r="A513" t="s">
        <v>786</v>
      </c>
      <c r="B513" s="1">
        <v>3600</v>
      </c>
      <c r="C513" t="s">
        <v>0</v>
      </c>
      <c r="D513" t="s">
        <v>870</v>
      </c>
      <c r="E513" t="s">
        <v>1400</v>
      </c>
      <c r="F513" t="s">
        <v>1248</v>
      </c>
      <c r="G513" t="str">
        <f t="shared" ref="G513:G576" si="8">"https://wa.me/905425127759?text=" &amp; _xlfn.ENCODEURL("*" &amp; A513 &amp; "* ürünü hakkında bilgi almak istiyorum.")</f>
        <v>https://wa.me/905425127759?text=%2ASANDALYE%20ADA%20AS%20HOME%2007%20S%C4%B0YAH%2A%20%C3%BCr%C3%BCn%C3%BC%20hakk%C4%B1nda%20bilgi%20almak%20istiyorum.</v>
      </c>
    </row>
    <row r="514" spans="1:7" x14ac:dyDescent="0.25">
      <c r="A514" t="s">
        <v>1502</v>
      </c>
      <c r="B514" s="1">
        <v>3200</v>
      </c>
      <c r="C514" t="s">
        <v>0</v>
      </c>
      <c r="D514" t="s">
        <v>870</v>
      </c>
      <c r="E514" t="s">
        <v>1400</v>
      </c>
      <c r="F514" t="s">
        <v>2603</v>
      </c>
      <c r="G514" t="str">
        <f t="shared" si="8"/>
        <v>https://wa.me/905425127759?text=%2ASANDALYE%20ALYA%20BF%20AS%20HOME%2A%20%C3%BCr%C3%BCn%C3%BC%20hakk%C4%B1nda%20bilgi%20almak%20istiyorum.</v>
      </c>
    </row>
    <row r="515" spans="1:7" x14ac:dyDescent="0.25">
      <c r="A515" t="s">
        <v>1486</v>
      </c>
      <c r="B515" s="1">
        <v>3600</v>
      </c>
      <c r="C515" t="s">
        <v>0</v>
      </c>
      <c r="D515" t="s">
        <v>870</v>
      </c>
      <c r="E515" t="s">
        <v>1400</v>
      </c>
      <c r="F515" t="s">
        <v>2604</v>
      </c>
      <c r="G515" t="str">
        <f t="shared" si="8"/>
        <v>https://wa.me/905425127759?text=%2ASANDALYE%20ASALET%20AS%20HOME%2A%20%C3%BCr%C3%BCn%C3%BC%20hakk%C4%B1nda%20bilgi%20almak%20istiyorum.</v>
      </c>
    </row>
    <row r="516" spans="1:7" x14ac:dyDescent="0.25">
      <c r="A516" t="s">
        <v>222</v>
      </c>
      <c r="B516" s="1">
        <v>3700</v>
      </c>
      <c r="C516" t="s">
        <v>0</v>
      </c>
      <c r="D516" t="s">
        <v>870</v>
      </c>
      <c r="E516" t="s">
        <v>1400</v>
      </c>
      <c r="F516" t="s">
        <v>1177</v>
      </c>
      <c r="G516" t="str">
        <f t="shared" si="8"/>
        <v>https://wa.me/905425127759?text=%2ASANDALYE%20BAR%20SANDALYES%C4%B0%20SUVEREN%2A%20%C3%BCr%C3%BCn%C3%BC%20hakk%C4%B1nda%20bilgi%20almak%20istiyorum.</v>
      </c>
    </row>
    <row r="517" spans="1:7" x14ac:dyDescent="0.25">
      <c r="A517" t="s">
        <v>716</v>
      </c>
      <c r="B517" s="1">
        <v>2000</v>
      </c>
      <c r="C517" t="s">
        <v>0</v>
      </c>
      <c r="D517" t="s">
        <v>870</v>
      </c>
      <c r="E517" t="s">
        <v>1400</v>
      </c>
      <c r="F517" t="s">
        <v>1241</v>
      </c>
      <c r="G517" t="str">
        <f t="shared" si="8"/>
        <v>https://wa.me/905425127759?text=%2ASANDALYE%20EKO%2A%20%C3%BCr%C3%BCn%C3%BC%20hakk%C4%B1nda%20bilgi%20almak%20istiyorum.</v>
      </c>
    </row>
    <row r="518" spans="1:7" x14ac:dyDescent="0.25">
      <c r="A518" t="s">
        <v>1488</v>
      </c>
      <c r="B518" s="1">
        <v>2700</v>
      </c>
      <c r="C518" t="s">
        <v>0</v>
      </c>
      <c r="D518" t="s">
        <v>870</v>
      </c>
      <c r="E518" t="s">
        <v>1400</v>
      </c>
      <c r="F518" t="s">
        <v>2605</v>
      </c>
      <c r="G518" t="str">
        <f t="shared" si="8"/>
        <v>https://wa.me/905425127759?text=%2ASANDALYE%20ELMA%20BF%20AS%20HOME%2A%20%C3%BCr%C3%BCn%C3%BC%20hakk%C4%B1nda%20bilgi%20almak%20istiyorum.</v>
      </c>
    </row>
    <row r="519" spans="1:7" x14ac:dyDescent="0.25">
      <c r="A519" t="s">
        <v>678</v>
      </c>
      <c r="B519" s="1">
        <v>2100</v>
      </c>
      <c r="C519" t="s">
        <v>0</v>
      </c>
      <c r="D519" t="s">
        <v>870</v>
      </c>
      <c r="E519" t="s">
        <v>1400</v>
      </c>
      <c r="F519" t="s">
        <v>1235</v>
      </c>
      <c r="G519" t="str">
        <f t="shared" si="8"/>
        <v>https://wa.me/905425127759?text=%2ASANDALYE%20FORUM%2A%20%C3%BCr%C3%BCn%C3%BC%20hakk%C4%B1nda%20bilgi%20almak%20istiyorum.</v>
      </c>
    </row>
    <row r="520" spans="1:7" x14ac:dyDescent="0.25">
      <c r="A520" t="s">
        <v>1492</v>
      </c>
      <c r="B520" s="1">
        <v>2800</v>
      </c>
      <c r="C520" t="s">
        <v>0</v>
      </c>
      <c r="D520" t="s">
        <v>870</v>
      </c>
      <c r="E520" t="s">
        <v>1400</v>
      </c>
      <c r="F520" t="s">
        <v>2606</v>
      </c>
      <c r="G520" t="str">
        <f t="shared" si="8"/>
        <v>https://wa.me/905425127759?text=%2ASANDALYE%20GOLD%20AS%20HOME%2A%20%C3%BCr%C3%BCn%C3%BC%20hakk%C4%B1nda%20bilgi%20almak%20istiyorum.</v>
      </c>
    </row>
    <row r="521" spans="1:7" x14ac:dyDescent="0.25">
      <c r="A521" t="s">
        <v>1482</v>
      </c>
      <c r="B521" s="1">
        <v>3000</v>
      </c>
      <c r="C521" t="s">
        <v>0</v>
      </c>
      <c r="D521" t="s">
        <v>870</v>
      </c>
      <c r="E521" t="s">
        <v>1400</v>
      </c>
      <c r="F521" t="s">
        <v>2607</v>
      </c>
      <c r="G521" t="str">
        <f t="shared" si="8"/>
        <v>https://wa.me/905425127759?text=%2ASANDALYE%20KARE%20GOLD%20BF%20AS%20HOME%2A%20%C3%BCr%C3%BCn%C3%BC%20hakk%C4%B1nda%20bilgi%20almak%20istiyorum.</v>
      </c>
    </row>
    <row r="522" spans="1:7" x14ac:dyDescent="0.25">
      <c r="A522" t="s">
        <v>677</v>
      </c>
      <c r="B522" s="1">
        <v>3000</v>
      </c>
      <c r="C522" t="s">
        <v>0</v>
      </c>
      <c r="D522" t="s">
        <v>870</v>
      </c>
      <c r="E522" t="s">
        <v>1400</v>
      </c>
      <c r="F522" t="s">
        <v>1234</v>
      </c>
      <c r="G522" t="str">
        <f t="shared" si="8"/>
        <v>https://wa.me/905425127759?text=%2ASANDALYE%20KARE%20GOLD%20EK%C4%B0NC%C4%B0LER%2A%20%C3%BCr%C3%BCn%C3%BC%20hakk%C4%B1nda%20bilgi%20almak%20istiyorum.</v>
      </c>
    </row>
    <row r="523" spans="1:7" x14ac:dyDescent="0.25">
      <c r="A523" t="s">
        <v>676</v>
      </c>
      <c r="B523" s="1">
        <v>3000</v>
      </c>
      <c r="C523" t="s">
        <v>0</v>
      </c>
      <c r="D523" t="s">
        <v>870</v>
      </c>
      <c r="E523" t="s">
        <v>1400</v>
      </c>
      <c r="F523" t="s">
        <v>1233</v>
      </c>
      <c r="G523" t="str">
        <f t="shared" si="8"/>
        <v>https://wa.me/905425127759?text=%2ASANDALYE%20KARE%20GOLD%20JR%20KREM%2A%20%C3%BCr%C3%BCn%C3%BC%20hakk%C4%B1nda%20bilgi%20almak%20istiyorum.</v>
      </c>
    </row>
    <row r="524" spans="1:7" x14ac:dyDescent="0.25">
      <c r="A524" t="s">
        <v>803</v>
      </c>
      <c r="B524" s="1">
        <v>5000</v>
      </c>
      <c r="C524" t="s">
        <v>0</v>
      </c>
      <c r="D524" t="s">
        <v>870</v>
      </c>
      <c r="E524" t="s">
        <v>1400</v>
      </c>
      <c r="F524" t="s">
        <v>1254</v>
      </c>
      <c r="G524" t="str">
        <f t="shared" si="8"/>
        <v>https://wa.me/905425127759?text=%2ASANDALYE%20LAV%20%28YSF%29%2A%20%C3%BCr%C3%BCn%C3%BC%20hakk%C4%B1nda%20bilgi%20almak%20istiyorum.</v>
      </c>
    </row>
    <row r="525" spans="1:7" x14ac:dyDescent="0.25">
      <c r="A525" t="s">
        <v>802</v>
      </c>
      <c r="B525" s="1">
        <v>3500</v>
      </c>
      <c r="C525" t="s">
        <v>0</v>
      </c>
      <c r="D525" t="s">
        <v>870</v>
      </c>
      <c r="E525" t="s">
        <v>1400</v>
      </c>
      <c r="F525" t="s">
        <v>1253</v>
      </c>
      <c r="G525" t="str">
        <f t="shared" si="8"/>
        <v>https://wa.me/905425127759?text=%2ASANDALYE%20LEKSUZ%2A%20%C3%BCr%C3%BCn%C3%BC%20hakk%C4%B1nda%20bilgi%20almak%20istiyorum.</v>
      </c>
    </row>
    <row r="526" spans="1:7" x14ac:dyDescent="0.25">
      <c r="A526" t="s">
        <v>1490</v>
      </c>
      <c r="B526" s="1">
        <v>3600</v>
      </c>
      <c r="C526" t="s">
        <v>0</v>
      </c>
      <c r="D526" t="s">
        <v>870</v>
      </c>
      <c r="E526" t="s">
        <v>1400</v>
      </c>
      <c r="F526" t="s">
        <v>2608</v>
      </c>
      <c r="G526" t="str">
        <f t="shared" si="8"/>
        <v>https://wa.me/905425127759?text=%2ASANDALYE%20L%C4%B0YA%20BF%20AS%20HOME%2A%20%C3%BCr%C3%BCn%C3%BC%20hakk%C4%B1nda%20bilgi%20almak%20istiyorum.</v>
      </c>
    </row>
    <row r="527" spans="1:7" x14ac:dyDescent="0.25">
      <c r="A527" t="s">
        <v>830</v>
      </c>
      <c r="B527" s="1">
        <v>3700</v>
      </c>
      <c r="C527" t="s">
        <v>0</v>
      </c>
      <c r="D527" t="s">
        <v>870</v>
      </c>
      <c r="E527" t="s">
        <v>1400</v>
      </c>
      <c r="F527" t="s">
        <v>1218</v>
      </c>
      <c r="G527" t="str">
        <f t="shared" si="8"/>
        <v>https://wa.me/905425127759?text=%2ASANDALYE%20L%C4%B0YA%20KAP%C4%B0TONEL%C4%B0%20AS%20HOME%2A%20%C3%BCr%C3%BCn%C3%BC%20hakk%C4%B1nda%20bilgi%20almak%20istiyorum.</v>
      </c>
    </row>
    <row r="528" spans="1:7" x14ac:dyDescent="0.25">
      <c r="A528" t="s">
        <v>303</v>
      </c>
      <c r="B528" s="1">
        <v>3000</v>
      </c>
      <c r="C528" t="s">
        <v>0</v>
      </c>
      <c r="D528" t="s">
        <v>870</v>
      </c>
      <c r="E528" t="s">
        <v>1400</v>
      </c>
      <c r="F528" t="s">
        <v>2399</v>
      </c>
      <c r="G528" t="str">
        <f t="shared" si="8"/>
        <v>https://wa.me/905425127759?text=%2ASANDALYE%20LOTUS%20ODABA%C5%9EI%2A%20%C3%BCr%C3%BCn%C3%BC%20hakk%C4%B1nda%20bilgi%20almak%20istiyorum.</v>
      </c>
    </row>
    <row r="529" spans="1:7" x14ac:dyDescent="0.25">
      <c r="A529" t="s">
        <v>304</v>
      </c>
      <c r="B529" s="1">
        <v>4200</v>
      </c>
      <c r="C529" t="s">
        <v>0</v>
      </c>
      <c r="D529" t="s">
        <v>870</v>
      </c>
      <c r="E529" t="s">
        <v>1400</v>
      </c>
      <c r="F529" t="s">
        <v>1219</v>
      </c>
      <c r="G529" t="str">
        <f t="shared" si="8"/>
        <v>https://wa.me/905425127759?text=%2ASANDALYE%20OL%C4%B0VA%20FYZ%2A%20%C3%BCr%C3%BCn%C3%BC%20hakk%C4%B1nda%20bilgi%20almak%20istiyorum.</v>
      </c>
    </row>
    <row r="530" spans="1:7" x14ac:dyDescent="0.25">
      <c r="A530" t="s">
        <v>299</v>
      </c>
      <c r="B530" s="1">
        <v>4500</v>
      </c>
      <c r="C530" t="s">
        <v>0</v>
      </c>
      <c r="D530" t="s">
        <v>870</v>
      </c>
      <c r="E530" t="s">
        <v>1400</v>
      </c>
      <c r="F530" t="s">
        <v>1217</v>
      </c>
      <c r="G530" t="str">
        <f t="shared" si="8"/>
        <v>https://wa.me/905425127759?text=%2ASANDALYE%20POLO%20BOHEM%2A%20%C3%BCr%C3%BCn%C3%BC%20hakk%C4%B1nda%20bilgi%20almak%20istiyorum.</v>
      </c>
    </row>
    <row r="531" spans="1:7" x14ac:dyDescent="0.25">
      <c r="A531" t="s">
        <v>319</v>
      </c>
      <c r="B531" s="1">
        <v>4500</v>
      </c>
      <c r="C531" t="s">
        <v>0</v>
      </c>
      <c r="D531" t="s">
        <v>870</v>
      </c>
      <c r="E531" t="s">
        <v>1400</v>
      </c>
      <c r="F531" t="s">
        <v>1220</v>
      </c>
      <c r="G531" t="str">
        <f t="shared" si="8"/>
        <v>https://wa.me/905425127759?text=%2ASANDALYE%20S%C4%B0LVA%20FYZ%2A%20%C3%BCr%C3%BCn%C3%BC%20hakk%C4%B1nda%20bilgi%20almak%20istiyorum.</v>
      </c>
    </row>
    <row r="532" spans="1:7" x14ac:dyDescent="0.25">
      <c r="A532" t="s">
        <v>340</v>
      </c>
      <c r="B532" s="1">
        <v>1400</v>
      </c>
      <c r="C532" t="s">
        <v>0</v>
      </c>
      <c r="D532" t="s">
        <v>870</v>
      </c>
      <c r="E532" t="s">
        <v>1400</v>
      </c>
      <c r="F532" t="s">
        <v>1230</v>
      </c>
      <c r="G532" t="str">
        <f t="shared" si="8"/>
        <v>https://wa.me/905425127759?text=%2ASANDALYE%20TEL%20SANDALYE%20%2A%20%C3%BCr%C3%BCn%C3%BC%20hakk%C4%B1nda%20bilgi%20almak%20istiyorum.</v>
      </c>
    </row>
    <row r="533" spans="1:7" x14ac:dyDescent="0.25">
      <c r="A533" t="s">
        <v>320</v>
      </c>
      <c r="B533" s="1">
        <v>1400</v>
      </c>
      <c r="C533" t="s">
        <v>0</v>
      </c>
      <c r="D533" t="s">
        <v>870</v>
      </c>
      <c r="E533" t="s">
        <v>1400</v>
      </c>
      <c r="F533" t="s">
        <v>1221</v>
      </c>
      <c r="G533" t="str">
        <f t="shared" si="8"/>
        <v>https://wa.me/905425127759?text=%2ASANDALYE%20TELL%C4%B0%2A%20%C3%BCr%C3%BCn%C3%BC%20hakk%C4%B1nda%20bilgi%20almak%20istiyorum.</v>
      </c>
    </row>
    <row r="534" spans="1:7" x14ac:dyDescent="0.25">
      <c r="A534" t="s">
        <v>321</v>
      </c>
      <c r="B534" s="1">
        <v>5400</v>
      </c>
      <c r="C534" t="s">
        <v>0</v>
      </c>
      <c r="D534" t="s">
        <v>870</v>
      </c>
      <c r="E534" t="s">
        <v>1400</v>
      </c>
      <c r="F534" t="s">
        <v>1222</v>
      </c>
      <c r="G534" t="str">
        <f t="shared" si="8"/>
        <v>https://wa.me/905425127759?text=%2ASANDALYE%20VALE%20FYZ%2A%20%C3%BCr%C3%BCn%C3%BC%20hakk%C4%B1nda%20bilgi%20almak%20istiyorum.</v>
      </c>
    </row>
    <row r="535" spans="1:7" x14ac:dyDescent="0.25">
      <c r="A535" t="s">
        <v>322</v>
      </c>
      <c r="B535" s="1">
        <v>1450</v>
      </c>
      <c r="C535" t="s">
        <v>0</v>
      </c>
      <c r="D535" t="s">
        <v>870</v>
      </c>
      <c r="E535" t="s">
        <v>1400</v>
      </c>
      <c r="F535" t="s">
        <v>1223</v>
      </c>
      <c r="G535" t="str">
        <f t="shared" si="8"/>
        <v>https://wa.me/905425127759?text=%2ASANDALYE%20VENED%C4%B0K%20%2A%20%C3%BCr%C3%BCn%C3%BC%20hakk%C4%B1nda%20bilgi%20almak%20istiyorum.</v>
      </c>
    </row>
    <row r="536" spans="1:7" x14ac:dyDescent="0.25">
      <c r="A536" t="s">
        <v>323</v>
      </c>
      <c r="B536" s="1">
        <v>4500</v>
      </c>
      <c r="C536" t="s">
        <v>0</v>
      </c>
      <c r="D536" t="s">
        <v>870</v>
      </c>
      <c r="E536" t="s">
        <v>1400</v>
      </c>
      <c r="F536" t="s">
        <v>1224</v>
      </c>
      <c r="G536" t="str">
        <f t="shared" si="8"/>
        <v>https://wa.me/905425127759?text=%2ASANDALYE%20V%C4%B0LLA%20FYZ%2A%20%C3%BCr%C3%BCn%C3%BC%20hakk%C4%B1nda%20bilgi%20almak%20istiyorum.</v>
      </c>
    </row>
    <row r="537" spans="1:7" x14ac:dyDescent="0.25">
      <c r="A537" t="s">
        <v>337</v>
      </c>
      <c r="B537" s="1">
        <v>550</v>
      </c>
      <c r="C537" t="s">
        <v>0</v>
      </c>
      <c r="D537" t="s">
        <v>870</v>
      </c>
      <c r="E537" t="s">
        <v>1400</v>
      </c>
      <c r="F537" t="s">
        <v>1226</v>
      </c>
      <c r="G537" t="str">
        <f t="shared" si="8"/>
        <v>https://wa.me/905425127759?text=%2ATABURE%20DEM%C4%B0R%20BOYALI%2A%20%C3%BCr%C3%BCn%C3%BC%20hakk%C4%B1nda%20bilgi%20almak%20istiyorum.</v>
      </c>
    </row>
    <row r="538" spans="1:7" x14ac:dyDescent="0.25">
      <c r="A538" t="s">
        <v>336</v>
      </c>
      <c r="B538" s="1">
        <v>700</v>
      </c>
      <c r="C538" t="s">
        <v>0</v>
      </c>
      <c r="D538" t="s">
        <v>870</v>
      </c>
      <c r="E538" t="s">
        <v>1400</v>
      </c>
      <c r="F538" t="s">
        <v>1225</v>
      </c>
      <c r="G538" t="str">
        <f t="shared" si="8"/>
        <v>https://wa.me/905425127759?text=%2ATABURE%20DEM%C4%B0R%20%C3%87EMBERL%C4%B0%2A%20%C3%BCr%C3%BCn%C3%BC%20hakk%C4%B1nda%20bilgi%20almak%20istiyorum.</v>
      </c>
    </row>
    <row r="539" spans="1:7" x14ac:dyDescent="0.25">
      <c r="A539" t="s">
        <v>338</v>
      </c>
      <c r="B539" s="1">
        <v>4000</v>
      </c>
      <c r="C539" t="s">
        <v>0</v>
      </c>
      <c r="D539" t="s">
        <v>870</v>
      </c>
      <c r="E539" t="s">
        <v>1400</v>
      </c>
      <c r="F539" t="s">
        <v>1227</v>
      </c>
      <c r="G539" t="str">
        <f t="shared" si="8"/>
        <v>https://wa.me/905425127759?text=%2ATABURE%20METAL%20HEK%C4%B0M%2A%20%C3%BCr%C3%BCn%C3%BC%20hakk%C4%B1nda%20bilgi%20almak%20istiyorum.</v>
      </c>
    </row>
    <row r="540" spans="1:7" x14ac:dyDescent="0.25">
      <c r="A540" t="s">
        <v>861</v>
      </c>
      <c r="B540" s="1">
        <v>240</v>
      </c>
      <c r="C540" t="s">
        <v>0</v>
      </c>
      <c r="D540" t="s">
        <v>870</v>
      </c>
      <c r="E540" t="s">
        <v>1400</v>
      </c>
      <c r="F540" t="s">
        <v>1228</v>
      </c>
      <c r="G540" t="str">
        <f t="shared" si="8"/>
        <v>https://wa.me/905425127759?text=%2ATABURE%20PLAST%C4%B0K%20B%C3%9CY%C3%9CK%2A%20%C3%BCr%C3%BCn%C3%BC%20hakk%C4%B1nda%20bilgi%20almak%20istiyorum.</v>
      </c>
    </row>
    <row r="541" spans="1:7" x14ac:dyDescent="0.25">
      <c r="A541" t="s">
        <v>862</v>
      </c>
      <c r="B541" s="1">
        <v>190</v>
      </c>
      <c r="C541" t="s">
        <v>0</v>
      </c>
      <c r="D541" t="s">
        <v>870</v>
      </c>
      <c r="E541" t="s">
        <v>1400</v>
      </c>
      <c r="F541" t="s">
        <v>1229</v>
      </c>
      <c r="G541" t="str">
        <f t="shared" si="8"/>
        <v>https://wa.me/905425127759?text=%2ATABURE%20PLAST%C4%B0K%20ORTA%20BOY%2033CM%2A%20%C3%BCr%C3%BCn%C3%BC%20hakk%C4%B1nda%20bilgi%20almak%20istiyorum.</v>
      </c>
    </row>
    <row r="542" spans="1:7" x14ac:dyDescent="0.25">
      <c r="A542" t="s">
        <v>1476</v>
      </c>
      <c r="B542" s="1">
        <v>9000</v>
      </c>
      <c r="C542" t="s">
        <v>0</v>
      </c>
      <c r="D542" t="s">
        <v>870</v>
      </c>
      <c r="E542" t="s">
        <v>1400</v>
      </c>
      <c r="F542" t="s">
        <v>2609</v>
      </c>
      <c r="G542" t="str">
        <f t="shared" si="8"/>
        <v>https://wa.me/905425127759?text=%2AYA%C5%9EAM%204%2B1%20AH%C5%9EAP%20N%C4%B0KEL%20%2F%20GOLD%20ODABA%C5%9EI%2A%20%C3%BCr%C3%BCn%C3%BC%20hakk%C4%B1nda%20bilgi%20almak%20istiyorum.</v>
      </c>
    </row>
    <row r="543" spans="1:7" x14ac:dyDescent="0.25">
      <c r="A543" t="s">
        <v>342</v>
      </c>
      <c r="B543" s="1">
        <v>10000</v>
      </c>
      <c r="C543" t="s">
        <v>0</v>
      </c>
      <c r="D543" t="s">
        <v>870</v>
      </c>
      <c r="E543" t="s">
        <v>1400</v>
      </c>
      <c r="F543" t="s">
        <v>2491</v>
      </c>
      <c r="G543" t="str">
        <f t="shared" si="8"/>
        <v>https://wa.me/905425127759?text=%2AYA%C5%9EAM%204%2B1%20AH%C5%9EAP%20N%C4%B0KEL%20ODABA%C5%9EI%2A%20%C3%BCr%C3%BCn%C3%BC%20hakk%C4%B1nda%20bilgi%20almak%20istiyorum.</v>
      </c>
    </row>
    <row r="544" spans="1:7" x14ac:dyDescent="0.25">
      <c r="A544" t="s">
        <v>799</v>
      </c>
      <c r="B544" s="1">
        <v>8000</v>
      </c>
      <c r="C544" t="s">
        <v>0</v>
      </c>
      <c r="D544" t="s">
        <v>870</v>
      </c>
      <c r="E544" t="s">
        <v>1400</v>
      </c>
      <c r="F544" t="s">
        <v>2492</v>
      </c>
      <c r="G544" t="str">
        <f t="shared" si="8"/>
        <v>https://wa.me/905425127759?text=%2AYA%C5%9EAM%204%2B1%20AH%C5%9EAP%20P%C4%B0ZZA%20ALFA%2A%20%C3%BCr%C3%BCn%C3%BC%20hakk%C4%B1nda%20bilgi%20almak%20istiyorum.</v>
      </c>
    </row>
    <row r="545" spans="1:7" x14ac:dyDescent="0.25">
      <c r="A545" t="s">
        <v>804</v>
      </c>
      <c r="B545" s="1">
        <v>8000</v>
      </c>
      <c r="C545" t="s">
        <v>0</v>
      </c>
      <c r="D545" t="s">
        <v>870</v>
      </c>
      <c r="E545" t="s">
        <v>1400</v>
      </c>
      <c r="F545" t="s">
        <v>2400</v>
      </c>
      <c r="G545" t="str">
        <f t="shared" si="8"/>
        <v>https://wa.me/905425127759?text=%2AYA%C5%9EAM%204%2B1%20SET%20AH%C5%9EAP%20ODABA%C5%9EI%2A%20%C3%BCr%C3%BCn%C3%BC%20hakk%C4%B1nda%20bilgi%20almak%20istiyorum.</v>
      </c>
    </row>
    <row r="546" spans="1:7" x14ac:dyDescent="0.25">
      <c r="A546" t="s">
        <v>694</v>
      </c>
      <c r="B546" s="1">
        <v>9000</v>
      </c>
      <c r="C546" t="s">
        <v>0</v>
      </c>
      <c r="D546" t="s">
        <v>870</v>
      </c>
      <c r="E546" t="s">
        <v>1400</v>
      </c>
      <c r="F546" t="s">
        <v>2536</v>
      </c>
      <c r="G546" t="str">
        <f t="shared" si="8"/>
        <v>https://wa.me/905425127759?text=%2AYA%C5%9EAM%204%2B1%20SET%20CAMLI%20GOLD%20ALTINAKSESUAR%2A%20%C3%BCr%C3%BCn%C3%BC%20hakk%C4%B1nda%20bilgi%20almak%20istiyorum.</v>
      </c>
    </row>
    <row r="547" spans="1:7" x14ac:dyDescent="0.25">
      <c r="A547" t="s">
        <v>1478</v>
      </c>
      <c r="B547" s="1">
        <v>10000</v>
      </c>
      <c r="C547" t="s">
        <v>0</v>
      </c>
      <c r="D547" t="s">
        <v>870</v>
      </c>
      <c r="E547" t="s">
        <v>1400</v>
      </c>
      <c r="F547" t="s">
        <v>2610</v>
      </c>
      <c r="G547" t="str">
        <f t="shared" si="8"/>
        <v>https://wa.me/905425127759?text=%2AYA%C5%9EAM%204%2B1%20SET%20CAMLI%20N%C4%B0KEL%20%2F%20GOLD%20ODABA%C5%9EI%2A%20%C3%BCr%C3%BCn%C3%BC%20hakk%C4%B1nda%20bilgi%20almak%20istiyorum.</v>
      </c>
    </row>
    <row r="548" spans="1:7" x14ac:dyDescent="0.25">
      <c r="A548" t="s">
        <v>695</v>
      </c>
      <c r="B548" s="1">
        <v>9000</v>
      </c>
      <c r="C548" t="s">
        <v>0</v>
      </c>
      <c r="D548" t="s">
        <v>870</v>
      </c>
      <c r="E548" t="s">
        <v>1400</v>
      </c>
      <c r="F548" t="s">
        <v>2537</v>
      </c>
      <c r="G548" t="str">
        <f t="shared" si="8"/>
        <v>https://wa.me/905425127759?text=%2AYA%C5%9EAM%204%2B1%20SET%20CAMLI%20N%C4%B0KEL%20ALTINAKSESUAR%2A%20%C3%BCr%C3%BCn%C3%BC%20hakk%C4%B1nda%20bilgi%20almak%20istiyorum.</v>
      </c>
    </row>
    <row r="549" spans="1:7" x14ac:dyDescent="0.25">
      <c r="A549" t="s">
        <v>343</v>
      </c>
      <c r="B549" s="1">
        <v>9000</v>
      </c>
      <c r="C549" t="s">
        <v>0</v>
      </c>
      <c r="D549" t="s">
        <v>870</v>
      </c>
      <c r="E549" t="s">
        <v>1400</v>
      </c>
      <c r="F549" t="s">
        <v>2538</v>
      </c>
      <c r="G549" t="str">
        <f t="shared" si="8"/>
        <v>https://wa.me/905425127759?text=%2AYA%C5%9EAM%204%2B1%20SET%20CAMLI%20N%C4%B0KEL%20ODABA%C5%9EI%2A%20%C3%BCr%C3%BCn%C3%BC%20hakk%C4%B1nda%20bilgi%20almak%20istiyorum.</v>
      </c>
    </row>
    <row r="550" spans="1:7" x14ac:dyDescent="0.25">
      <c r="A550" t="s">
        <v>845</v>
      </c>
      <c r="B550" s="1">
        <v>4000</v>
      </c>
      <c r="C550" t="s">
        <v>0</v>
      </c>
      <c r="D550" t="s">
        <v>870</v>
      </c>
      <c r="E550" t="s">
        <v>1400</v>
      </c>
      <c r="F550" t="s">
        <v>2578</v>
      </c>
      <c r="G550" t="str">
        <f t="shared" si="8"/>
        <v>https://wa.me/905425127759?text=%2AZ%C4%B0GON%204%20L%C3%9C%20TERLEKL%C4%B0%20%28PYRZ%29%2A%20%C3%BCr%C3%BCn%C3%BC%20hakk%C4%B1nda%20bilgi%20almak%20istiyorum.</v>
      </c>
    </row>
    <row r="551" spans="1:7" x14ac:dyDescent="0.25">
      <c r="A551" t="s">
        <v>701</v>
      </c>
      <c r="B551" s="1">
        <v>3500</v>
      </c>
      <c r="C551" t="s">
        <v>0</v>
      </c>
      <c r="D551" t="s">
        <v>870</v>
      </c>
      <c r="E551" t="s">
        <v>1400</v>
      </c>
      <c r="F551" t="s">
        <v>2539</v>
      </c>
      <c r="G551" t="str">
        <f t="shared" si="8"/>
        <v>https://wa.me/905425127759?text=%2AZ%C4%B0GON%20A%20CAMLI%20%C4%B0NCE%20AYAK%2A%20%C3%BCr%C3%BCn%C3%BC%20hakk%C4%B1nda%20bilgi%20almak%20istiyorum.</v>
      </c>
    </row>
    <row r="552" spans="1:7" x14ac:dyDescent="0.25">
      <c r="A552" t="s">
        <v>708</v>
      </c>
      <c r="B552" s="1">
        <v>3600</v>
      </c>
      <c r="C552" t="s">
        <v>0</v>
      </c>
      <c r="D552" t="s">
        <v>870</v>
      </c>
      <c r="E552" t="s">
        <v>1400</v>
      </c>
      <c r="F552" t="s">
        <v>2540</v>
      </c>
      <c r="G552" t="str">
        <f t="shared" si="8"/>
        <v>https://wa.me/905425127759?text=%2AZ%C4%B0GON%20A%20CAMLI%20KALIN%20AYAK%2A%20%C3%BCr%C3%BCn%C3%BC%20hakk%C4%B1nda%20bilgi%20almak%20istiyorum.</v>
      </c>
    </row>
    <row r="553" spans="1:7" x14ac:dyDescent="0.25">
      <c r="A553" t="s">
        <v>345</v>
      </c>
      <c r="B553" s="1">
        <v>2600</v>
      </c>
      <c r="C553" t="s">
        <v>0</v>
      </c>
      <c r="D553" t="s">
        <v>870</v>
      </c>
      <c r="E553" t="s">
        <v>1400</v>
      </c>
      <c r="F553" t="s">
        <v>2541</v>
      </c>
      <c r="G553" t="str">
        <f t="shared" si="8"/>
        <v>https://wa.me/905425127759?text=%2AZ%C4%B0GON%20A%20TEPS%C4%B0%20METAL%20AYAK%2A%20%C3%BCr%C3%BCn%C3%BC%20hakk%C4%B1nda%20bilgi%20almak%20istiyorum.</v>
      </c>
    </row>
    <row r="554" spans="1:7" x14ac:dyDescent="0.25">
      <c r="A554" t="s">
        <v>346</v>
      </c>
      <c r="B554" s="1">
        <v>4200</v>
      </c>
      <c r="C554" t="s">
        <v>0</v>
      </c>
      <c r="D554" t="s">
        <v>870</v>
      </c>
      <c r="E554" t="s">
        <v>1400</v>
      </c>
      <c r="F554" t="s">
        <v>2542</v>
      </c>
      <c r="G554" t="str">
        <f t="shared" si="8"/>
        <v>https://wa.me/905425127759?text=%2AZ%C4%B0GON%20C%203%20L%C3%9C%20TEKERLEKL%C4%B0%20TA%C5%9E%C3%87IO%C4%9ELU%2A%20%C3%BCr%C3%BCn%C3%BC%20hakk%C4%B1nda%20bilgi%20almak%20istiyorum.</v>
      </c>
    </row>
    <row r="555" spans="1:7" x14ac:dyDescent="0.25">
      <c r="A555" t="s">
        <v>686</v>
      </c>
      <c r="B555" s="1">
        <v>4900</v>
      </c>
      <c r="C555" t="s">
        <v>0</v>
      </c>
      <c r="D555" t="s">
        <v>870</v>
      </c>
      <c r="E555" t="s">
        <v>1400</v>
      </c>
      <c r="F555" t="s">
        <v>2543</v>
      </c>
      <c r="G555" t="str">
        <f t="shared" si="8"/>
        <v>https://wa.me/905425127759?text=%2AZ%C4%B0GON%20C%204%20L%C3%9C%20N%C4%B0KEL%20CO%C5%9EKUN%2A%20%C3%BCr%C3%BCn%C3%BC%20hakk%C4%B1nda%20bilgi%20almak%20istiyorum.</v>
      </c>
    </row>
    <row r="556" spans="1:7" x14ac:dyDescent="0.25">
      <c r="A556" t="s">
        <v>347</v>
      </c>
      <c r="B556" s="1">
        <v>4900</v>
      </c>
      <c r="C556" t="s">
        <v>0</v>
      </c>
      <c r="D556" t="s">
        <v>870</v>
      </c>
      <c r="E556" t="s">
        <v>1400</v>
      </c>
      <c r="F556" t="s">
        <v>2544</v>
      </c>
      <c r="G556" t="str">
        <f t="shared" si="8"/>
        <v>https://wa.me/905425127759?text=%2AZ%C4%B0GON%20C%204%20L%C3%9C%20TEKERLEKL%C4%B0%20CO%C5%9EKUN%2A%20%C3%BCr%C3%BCn%C3%BC%20hakk%C4%B1nda%20bilgi%20almak%20istiyorum.</v>
      </c>
    </row>
    <row r="557" spans="1:7" x14ac:dyDescent="0.25">
      <c r="A557" t="s">
        <v>2362</v>
      </c>
      <c r="B557" s="1">
        <v>2300</v>
      </c>
      <c r="C557" t="s">
        <v>0</v>
      </c>
      <c r="D557" t="s">
        <v>870</v>
      </c>
      <c r="E557" t="s">
        <v>1400</v>
      </c>
      <c r="F557" t="s">
        <v>2545</v>
      </c>
      <c r="G557" t="str">
        <f t="shared" si="8"/>
        <v>https://wa.me/905425127759?text=%2AZ%C4%B0GON%20C%20AH%C5%9EAP%2A%20%C3%BCr%C3%BCn%C3%BC%20hakk%C4%B1nda%20bilgi%20almak%20istiyorum.</v>
      </c>
    </row>
    <row r="558" spans="1:7" x14ac:dyDescent="0.25">
      <c r="A558" t="s">
        <v>348</v>
      </c>
      <c r="B558" s="1">
        <v>2300</v>
      </c>
      <c r="C558" t="s">
        <v>0</v>
      </c>
      <c r="D558" t="s">
        <v>870</v>
      </c>
      <c r="E558" t="s">
        <v>1400</v>
      </c>
      <c r="F558" t="s">
        <v>2546</v>
      </c>
      <c r="G558" t="str">
        <f t="shared" si="8"/>
        <v>https://wa.me/905425127759?text=%2AZ%C4%B0GON%20C%20AH%C5%9EAP%20ALFA%2A%20%C3%BCr%C3%BCn%C3%BC%20hakk%C4%B1nda%20bilgi%20almak%20istiyorum.</v>
      </c>
    </row>
    <row r="559" spans="1:7" x14ac:dyDescent="0.25">
      <c r="A559" t="s">
        <v>689</v>
      </c>
      <c r="B559" s="1">
        <v>2300</v>
      </c>
      <c r="C559" t="s">
        <v>0</v>
      </c>
      <c r="D559" t="s">
        <v>870</v>
      </c>
      <c r="E559" t="s">
        <v>1400</v>
      </c>
      <c r="F559" t="s">
        <v>2547</v>
      </c>
      <c r="G559" t="str">
        <f t="shared" si="8"/>
        <v>https://wa.me/905425127759?text=%2AZ%C4%B0GON%20C%20AH%C5%9EAP%20TND%2A%20%C3%BCr%C3%BCn%C3%BC%20hakk%C4%B1nda%20bilgi%20almak%20istiyorum.</v>
      </c>
    </row>
    <row r="560" spans="1:7" x14ac:dyDescent="0.25">
      <c r="A560" t="s">
        <v>349</v>
      </c>
      <c r="B560" s="1">
        <v>2300</v>
      </c>
      <c r="C560" t="s">
        <v>0</v>
      </c>
      <c r="D560" t="s">
        <v>870</v>
      </c>
      <c r="E560" t="s">
        <v>1400</v>
      </c>
      <c r="F560" t="s">
        <v>2548</v>
      </c>
      <c r="G560" t="str">
        <f t="shared" si="8"/>
        <v>https://wa.me/905425127759?text=%2AZ%C4%B0GON%20C%20CAMLI%20GOLD%2A%20%C3%BCr%C3%BCn%C3%BC%20hakk%C4%B1nda%20bilgi%20almak%20istiyorum.</v>
      </c>
    </row>
    <row r="561" spans="1:7" x14ac:dyDescent="0.25">
      <c r="A561" t="s">
        <v>1472</v>
      </c>
      <c r="B561" s="1">
        <v>2300</v>
      </c>
      <c r="C561" t="s">
        <v>0</v>
      </c>
      <c r="D561" t="s">
        <v>870</v>
      </c>
      <c r="E561" t="s">
        <v>1400</v>
      </c>
      <c r="F561" t="s">
        <v>2611</v>
      </c>
      <c r="G561" t="str">
        <f t="shared" si="8"/>
        <v>https://wa.me/905425127759?text=%2AZ%C4%B0GON%20C%20CAMLI%20N%C4%B0KEL%20%2F%20GOLD%2A%20%C3%BCr%C3%BCn%C3%BC%20hakk%C4%B1nda%20bilgi%20almak%20istiyorum.</v>
      </c>
    </row>
    <row r="562" spans="1:7" x14ac:dyDescent="0.25">
      <c r="A562" t="s">
        <v>1451</v>
      </c>
      <c r="B562" s="1">
        <v>7600</v>
      </c>
      <c r="C562" t="s">
        <v>0</v>
      </c>
      <c r="D562" t="s">
        <v>870</v>
      </c>
      <c r="E562" t="s">
        <v>1400</v>
      </c>
      <c r="F562" t="s">
        <v>2612</v>
      </c>
      <c r="G562" t="str">
        <f t="shared" si="8"/>
        <v>https://wa.me/905425127759?text=%2AZ%C4%B0GON%20C%20HASIR%20AH%C5%9EAP%20N%C4%B0KEL%20%2F%20GOLD%20ODABA%C5%9EI%2A%20%C3%BCr%C3%BCn%C3%BC%20hakk%C4%B1nda%20bilgi%20almak%20istiyorum.</v>
      </c>
    </row>
    <row r="563" spans="1:7" x14ac:dyDescent="0.25">
      <c r="A563" t="s">
        <v>685</v>
      </c>
      <c r="B563" s="1">
        <v>7600</v>
      </c>
      <c r="C563" t="s">
        <v>0</v>
      </c>
      <c r="D563" t="s">
        <v>870</v>
      </c>
      <c r="E563" t="s">
        <v>1400</v>
      </c>
      <c r="F563" t="s">
        <v>2549</v>
      </c>
      <c r="G563" t="str">
        <f t="shared" si="8"/>
        <v>https://wa.me/905425127759?text=%2AZ%C4%B0GON%20C%20HASIR%20AH%C5%9EAP%20N%C4%B0KEL%20ODABA%C5%9EI%2A%20%C3%BCr%C3%BCn%C3%BC%20hakk%C4%B1nda%20bilgi%20almak%20istiyorum.</v>
      </c>
    </row>
    <row r="564" spans="1:7" x14ac:dyDescent="0.25">
      <c r="A564" t="s">
        <v>687</v>
      </c>
      <c r="B564" s="1">
        <v>3000</v>
      </c>
      <c r="C564" t="s">
        <v>0</v>
      </c>
      <c r="D564" t="s">
        <v>870</v>
      </c>
      <c r="E564" t="s">
        <v>1400</v>
      </c>
      <c r="F564" t="s">
        <v>2550</v>
      </c>
      <c r="G564" t="str">
        <f t="shared" si="8"/>
        <v>https://wa.me/905425127759?text=%2AZ%C4%B0GON%20C%20HASIR%20CAMLI%20GOLD%20ALFA%2A%20%C3%BCr%C3%BCn%C3%BC%20hakk%C4%B1nda%20bilgi%20almak%20istiyorum.</v>
      </c>
    </row>
    <row r="565" spans="1:7" x14ac:dyDescent="0.25">
      <c r="A565" t="s">
        <v>1470</v>
      </c>
      <c r="B565" s="1">
        <v>5000</v>
      </c>
      <c r="C565" t="s">
        <v>0</v>
      </c>
      <c r="D565" t="s">
        <v>870</v>
      </c>
      <c r="E565" t="s">
        <v>1400</v>
      </c>
      <c r="F565" t="s">
        <v>2613</v>
      </c>
      <c r="G565" t="str">
        <f t="shared" si="8"/>
        <v>https://wa.me/905425127759?text=%2AZ%C4%B0GON%20C%20HASIR%20CAMLI%20N%C4%B0KEL%20%2F%20GOLD%20ODABA%C5%9EI%2A%20%C3%BCr%C3%BCn%C3%BC%20hakk%C4%B1nda%20bilgi%20almak%20istiyorum.</v>
      </c>
    </row>
    <row r="566" spans="1:7" x14ac:dyDescent="0.25">
      <c r="A566" t="s">
        <v>350</v>
      </c>
      <c r="B566" s="1">
        <v>7500</v>
      </c>
      <c r="C566" t="s">
        <v>0</v>
      </c>
      <c r="D566" t="s">
        <v>870</v>
      </c>
      <c r="E566" t="s">
        <v>1400</v>
      </c>
      <c r="F566" t="s">
        <v>2551</v>
      </c>
      <c r="G566" t="str">
        <f t="shared" si="8"/>
        <v>https://wa.me/905425127759?text=%2AZ%C4%B0GON%20%C3%87ANTA%20CAMLI%20BASKILI%20%2A%20%C3%BCr%C3%BCn%C3%BC%20hakk%C4%B1nda%20bilgi%20almak%20istiyorum.</v>
      </c>
    </row>
    <row r="567" spans="1:7" x14ac:dyDescent="0.25">
      <c r="A567" t="s">
        <v>351</v>
      </c>
      <c r="B567" s="1">
        <v>7500</v>
      </c>
      <c r="C567" t="s">
        <v>0</v>
      </c>
      <c r="D567" t="s">
        <v>870</v>
      </c>
      <c r="E567" t="s">
        <v>1400</v>
      </c>
      <c r="F567" t="s">
        <v>2552</v>
      </c>
      <c r="G567" t="str">
        <f t="shared" si="8"/>
        <v>https://wa.me/905425127759?text=%2AZ%C4%B0GON%20%C3%87ANTA%20MEBRAN%2A%20%C3%BCr%C3%BCn%C3%BC%20hakk%C4%B1nda%20bilgi%20almak%20istiyorum.</v>
      </c>
    </row>
    <row r="568" spans="1:7" x14ac:dyDescent="0.25">
      <c r="A568" t="s">
        <v>352</v>
      </c>
      <c r="B568" s="1">
        <v>7500</v>
      </c>
      <c r="C568" t="s">
        <v>0</v>
      </c>
      <c r="D568" t="s">
        <v>870</v>
      </c>
      <c r="E568" t="s">
        <v>1400</v>
      </c>
      <c r="F568" t="s">
        <v>2553</v>
      </c>
      <c r="G568" t="str">
        <f t="shared" si="8"/>
        <v>https://wa.me/905425127759?text=%2AZ%C4%B0GON%20%C3%87ANTA%20MEBRAN%20ERELYA%20%28TND%29%2A%20%C3%BCr%C3%BCn%C3%BC%20hakk%C4%B1nda%20bilgi%20almak%20istiyorum.</v>
      </c>
    </row>
    <row r="569" spans="1:7" x14ac:dyDescent="0.25">
      <c r="A569" t="s">
        <v>353</v>
      </c>
      <c r="B569" s="1">
        <v>2100</v>
      </c>
      <c r="C569" t="s">
        <v>0</v>
      </c>
      <c r="D569" t="s">
        <v>870</v>
      </c>
      <c r="E569" t="s">
        <v>1400</v>
      </c>
      <c r="F569" t="s">
        <v>2554</v>
      </c>
      <c r="G569" t="str">
        <f t="shared" si="8"/>
        <v>https://wa.me/905425127759?text=%2AZ%C4%B0GON%20DEMET%20BOYALI%2A%20%C3%BCr%C3%BCn%C3%BC%20hakk%C4%B1nda%20bilgi%20almak%20istiyorum.</v>
      </c>
    </row>
    <row r="570" spans="1:7" x14ac:dyDescent="0.25">
      <c r="A570" t="s">
        <v>1449</v>
      </c>
      <c r="B570" s="1">
        <v>0</v>
      </c>
      <c r="C570" t="s">
        <v>0</v>
      </c>
      <c r="D570" t="s">
        <v>870</v>
      </c>
      <c r="E570" t="s">
        <v>1400</v>
      </c>
      <c r="F570" t="s">
        <v>2614</v>
      </c>
      <c r="G570" t="str">
        <f t="shared" si="8"/>
        <v>https://wa.me/905425127759?text=%2AZ%C4%B0GON%20G%C3%9CRGEN%2A%20%C3%BCr%C3%BCn%C3%BC%20hakk%C4%B1nda%20bilgi%20almak%20istiyorum.</v>
      </c>
    </row>
    <row r="571" spans="1:7" x14ac:dyDescent="0.25">
      <c r="A571" t="s">
        <v>809</v>
      </c>
      <c r="B571" s="1">
        <v>0</v>
      </c>
      <c r="C571" t="s">
        <v>0</v>
      </c>
      <c r="D571" t="s">
        <v>870</v>
      </c>
      <c r="E571" t="s">
        <v>1400</v>
      </c>
      <c r="F571" t="s">
        <v>2555</v>
      </c>
      <c r="G571" t="str">
        <f t="shared" si="8"/>
        <v>https://wa.me/905425127759?text=%2AZ%C4%B0GON%20H%C4%B0LAL%20TEKERLEKL%C4%B0%20N%C4%B0KEL%20%28MSSN%29%2A%20%C3%BCr%C3%BCn%C3%BC%20hakk%C4%B1nda%20bilgi%20almak%20istiyorum.</v>
      </c>
    </row>
    <row r="572" spans="1:7" x14ac:dyDescent="0.25">
      <c r="A572" t="s">
        <v>1453</v>
      </c>
      <c r="B572" s="1">
        <v>10000</v>
      </c>
      <c r="C572" t="s">
        <v>0</v>
      </c>
      <c r="D572" t="s">
        <v>870</v>
      </c>
      <c r="E572" t="s">
        <v>1400</v>
      </c>
      <c r="F572" t="s">
        <v>2615</v>
      </c>
      <c r="G572" t="str">
        <f t="shared" si="8"/>
        <v>https://wa.me/905425127759?text=%2AZ%C4%B0GON%20%C4%B0ZM%C4%B0R%2A%20%C3%BCr%C3%BCn%C3%BC%20hakk%C4%B1nda%20bilgi%20almak%20istiyorum.</v>
      </c>
    </row>
    <row r="573" spans="1:7" x14ac:dyDescent="0.25">
      <c r="A573" t="s">
        <v>362</v>
      </c>
      <c r="B573" s="1">
        <v>3000</v>
      </c>
      <c r="C573" t="s">
        <v>0</v>
      </c>
      <c r="D573" t="s">
        <v>870</v>
      </c>
      <c r="E573" t="s">
        <v>1400</v>
      </c>
      <c r="F573" t="s">
        <v>2556</v>
      </c>
      <c r="G573" t="str">
        <f t="shared" si="8"/>
        <v>https://wa.me/905425127759?text=%2AZ%C4%B0GON%20KU%C4%9EU%20CAMLI%2A%20%C3%BCr%C3%BCn%C3%BC%20hakk%C4%B1nda%20bilgi%20almak%20istiyorum.</v>
      </c>
    </row>
    <row r="574" spans="1:7" x14ac:dyDescent="0.25">
      <c r="A574" t="s">
        <v>363</v>
      </c>
      <c r="B574" s="1">
        <v>3000</v>
      </c>
      <c r="C574" t="s">
        <v>0</v>
      </c>
      <c r="D574" t="s">
        <v>870</v>
      </c>
      <c r="E574" t="s">
        <v>1400</v>
      </c>
      <c r="F574" t="s">
        <v>2557</v>
      </c>
      <c r="G574" t="str">
        <f t="shared" si="8"/>
        <v>https://wa.me/905425127759?text=%2AZ%C4%B0GON%20KUM%20SAAT%C4%B0%20CAMLI%2A%20%C3%BCr%C3%BCn%C3%BC%20hakk%C4%B1nda%20bilgi%20almak%20istiyorum.</v>
      </c>
    </row>
    <row r="575" spans="1:7" x14ac:dyDescent="0.25">
      <c r="A575" t="s">
        <v>364</v>
      </c>
      <c r="B575" s="1">
        <v>3000</v>
      </c>
      <c r="C575" t="s">
        <v>0</v>
      </c>
      <c r="D575" t="s">
        <v>870</v>
      </c>
      <c r="E575" t="s">
        <v>1400</v>
      </c>
      <c r="F575" t="s">
        <v>2558</v>
      </c>
      <c r="G575" t="str">
        <f t="shared" si="8"/>
        <v>https://wa.me/905425127759?text=%2AZ%C4%B0GON%20KUM%20SAAT%C4%B0%20HASIRLI%20CAMLI%2A%20%C3%BCr%C3%BCn%C3%BC%20hakk%C4%B1nda%20bilgi%20almak%20istiyorum.</v>
      </c>
    </row>
    <row r="576" spans="1:7" x14ac:dyDescent="0.25">
      <c r="A576" t="s">
        <v>1456</v>
      </c>
      <c r="B576" s="1">
        <v>0</v>
      </c>
      <c r="C576" t="s">
        <v>0</v>
      </c>
      <c r="D576" t="s">
        <v>870</v>
      </c>
      <c r="E576" t="s">
        <v>1400</v>
      </c>
      <c r="F576" t="s">
        <v>2616</v>
      </c>
      <c r="G576" t="str">
        <f t="shared" si="8"/>
        <v>https://wa.me/905425127759?text=%2AZ%C4%B0GON%20LUKENS%20SAB%C4%B0T%2A%20%C3%BCr%C3%BCn%C3%BC%20hakk%C4%B1nda%20bilgi%20almak%20istiyorum.</v>
      </c>
    </row>
    <row r="577" spans="1:7" x14ac:dyDescent="0.25">
      <c r="A577" t="s">
        <v>1459</v>
      </c>
      <c r="B577" s="1">
        <v>0</v>
      </c>
      <c r="C577" t="s">
        <v>0</v>
      </c>
      <c r="D577" t="s">
        <v>870</v>
      </c>
      <c r="E577" t="s">
        <v>1400</v>
      </c>
      <c r="F577" t="s">
        <v>2617</v>
      </c>
      <c r="G577" t="str">
        <f t="shared" ref="G577:G640" si="9">"https://wa.me/905425127759?text=" &amp; _xlfn.ENCODEURL("*" &amp; A577 &amp; "* ürünü hakkında bilgi almak istiyorum.")</f>
        <v>https://wa.me/905425127759?text=%2AZ%C4%B0GON%20L%C3%9CKENS%20CANIPEK%2A%20%C3%BCr%C3%BCn%C3%BC%20hakk%C4%B1nda%20bilgi%20almak%20istiyorum.</v>
      </c>
    </row>
    <row r="578" spans="1:7" x14ac:dyDescent="0.25">
      <c r="A578" t="s">
        <v>367</v>
      </c>
      <c r="B578" s="1">
        <v>10000</v>
      </c>
      <c r="C578" t="s">
        <v>0</v>
      </c>
      <c r="D578" t="s">
        <v>870</v>
      </c>
      <c r="E578" t="s">
        <v>1400</v>
      </c>
      <c r="F578" t="s">
        <v>2559</v>
      </c>
      <c r="G578" t="str">
        <f t="shared" si="9"/>
        <v>https://wa.me/905425127759?text=%2AZ%C4%B0GON%20L%C3%9CKENS%20DEMONTE%20BEYAZ%20D%C3%9CZ%2A%20%C3%BCr%C3%BCn%C3%BC%20hakk%C4%B1nda%20bilgi%20almak%20istiyorum.</v>
      </c>
    </row>
    <row r="579" spans="1:7" x14ac:dyDescent="0.25">
      <c r="A579" t="s">
        <v>368</v>
      </c>
      <c r="B579" s="1">
        <v>0</v>
      </c>
      <c r="C579" t="s">
        <v>0</v>
      </c>
      <c r="D579" t="s">
        <v>870</v>
      </c>
      <c r="E579" t="s">
        <v>1400</v>
      </c>
      <c r="F579" t="s">
        <v>2560</v>
      </c>
      <c r="G579" t="str">
        <f t="shared" si="9"/>
        <v>https://wa.me/905425127759?text=%2AZ%C4%B0GON%20L%C3%9CKENS%20DEMONTE%20BEYAZ%20OYMALI%2A%20%C3%BCr%C3%BCn%C3%BC%20hakk%C4%B1nda%20bilgi%20almak%20istiyorum.</v>
      </c>
    </row>
    <row r="580" spans="1:7" x14ac:dyDescent="0.25">
      <c r="A580" t="s">
        <v>369</v>
      </c>
      <c r="B580" s="1">
        <v>0</v>
      </c>
      <c r="C580" t="s">
        <v>0</v>
      </c>
      <c r="D580" t="s">
        <v>870</v>
      </c>
      <c r="E580" t="s">
        <v>1400</v>
      </c>
      <c r="F580" t="s">
        <v>2561</v>
      </c>
      <c r="G580" t="str">
        <f t="shared" si="9"/>
        <v>https://wa.me/905425127759?text=%2AZ%C4%B0GON%20L%C3%9CKENS%20DEMONTE%20KREM%20D%C3%9CZ%2A%20%C3%BCr%C3%BCn%C3%BC%20hakk%C4%B1nda%20bilgi%20almak%20istiyorum.</v>
      </c>
    </row>
    <row r="581" spans="1:7" x14ac:dyDescent="0.25">
      <c r="A581" t="s">
        <v>370</v>
      </c>
      <c r="B581" s="1">
        <v>0</v>
      </c>
      <c r="C581" t="s">
        <v>0</v>
      </c>
      <c r="D581" t="s">
        <v>870</v>
      </c>
      <c r="E581" t="s">
        <v>1400</v>
      </c>
      <c r="F581" t="s">
        <v>2562</v>
      </c>
      <c r="G581" t="str">
        <f t="shared" si="9"/>
        <v>https://wa.me/905425127759?text=%2AZ%C4%B0GON%20L%C3%9CKENS%20DEMONTE%20KREM%20OYMALI%2A%20%C3%BCr%C3%BCn%C3%BC%20hakk%C4%B1nda%20bilgi%20almak%20istiyorum.</v>
      </c>
    </row>
    <row r="582" spans="1:7" x14ac:dyDescent="0.25">
      <c r="A582" t="s">
        <v>371</v>
      </c>
      <c r="B582" s="1">
        <v>0</v>
      </c>
      <c r="C582" t="s">
        <v>0</v>
      </c>
      <c r="D582" t="s">
        <v>870</v>
      </c>
      <c r="E582" t="s">
        <v>1400</v>
      </c>
      <c r="F582" t="s">
        <v>2563</v>
      </c>
      <c r="G582" t="str">
        <f t="shared" si="9"/>
        <v>https://wa.me/905425127759?text=%2AZ%C4%B0GON%20L%C3%9CKENS%20KREM%20CANIPEK%2A%20%C3%BCr%C3%BCn%C3%BC%20hakk%C4%B1nda%20bilgi%20almak%20istiyorum.</v>
      </c>
    </row>
    <row r="583" spans="1:7" x14ac:dyDescent="0.25">
      <c r="A583" t="s">
        <v>700</v>
      </c>
      <c r="B583" s="1">
        <v>9000</v>
      </c>
      <c r="C583" t="s">
        <v>0</v>
      </c>
      <c r="D583" t="s">
        <v>870</v>
      </c>
      <c r="E583" t="s">
        <v>1400</v>
      </c>
      <c r="F583" t="s">
        <v>2564</v>
      </c>
      <c r="G583" t="str">
        <f t="shared" si="9"/>
        <v>https://wa.me/905425127759?text=%2AZ%C4%B0GON%20NEJLA%2A%20%C3%BCr%C3%BCn%C3%BC%20hakk%C4%B1nda%20bilgi%20almak%20istiyorum.</v>
      </c>
    </row>
    <row r="584" spans="1:7" x14ac:dyDescent="0.25">
      <c r="A584" t="s">
        <v>372</v>
      </c>
      <c r="B584" s="1">
        <v>9000</v>
      </c>
      <c r="C584" t="s">
        <v>0</v>
      </c>
      <c r="D584" t="s">
        <v>870</v>
      </c>
      <c r="E584" t="s">
        <v>1400</v>
      </c>
      <c r="F584" t="s">
        <v>2565</v>
      </c>
      <c r="G584" t="str">
        <f t="shared" si="9"/>
        <v>https://wa.me/905425127759?text=%2AZ%C4%B0GON%20OTTO%20ODABA%C5%9EI%2A%20%C3%BCr%C3%BCn%C3%BC%20hakk%C4%B1nda%20bilgi%20almak%20istiyorum.</v>
      </c>
    </row>
    <row r="585" spans="1:7" x14ac:dyDescent="0.25">
      <c r="A585" t="s">
        <v>699</v>
      </c>
      <c r="B585" s="1">
        <v>9500</v>
      </c>
      <c r="C585" t="s">
        <v>0</v>
      </c>
      <c r="D585" t="s">
        <v>870</v>
      </c>
      <c r="E585" t="s">
        <v>1400</v>
      </c>
      <c r="F585" t="s">
        <v>2566</v>
      </c>
      <c r="G585" t="str">
        <f t="shared" si="9"/>
        <v>https://wa.me/905425127759?text=%2AZ%C4%B0GON%20P%C4%B0YANO%20MDF%20KARE%2A%20%C3%BCr%C3%BCn%C3%BC%20hakk%C4%B1nda%20bilgi%20almak%20istiyorum.</v>
      </c>
    </row>
    <row r="586" spans="1:7" x14ac:dyDescent="0.25">
      <c r="A586" t="s">
        <v>373</v>
      </c>
      <c r="B586" s="1">
        <v>9500</v>
      </c>
      <c r="C586" t="s">
        <v>0</v>
      </c>
      <c r="D586" t="s">
        <v>870</v>
      </c>
      <c r="E586" t="s">
        <v>1400</v>
      </c>
      <c r="F586" t="s">
        <v>2567</v>
      </c>
      <c r="G586" t="str">
        <f t="shared" si="9"/>
        <v>https://wa.me/905425127759?text=%2AZ%C4%B0GON%20P%C4%B0YANO%20MDF%20YUVARLAK%2A%20%C3%BCr%C3%BCn%C3%BC%20hakk%C4%B1nda%20bilgi%20almak%20istiyorum.</v>
      </c>
    </row>
    <row r="587" spans="1:7" x14ac:dyDescent="0.25">
      <c r="A587" t="s">
        <v>374</v>
      </c>
      <c r="B587" s="1">
        <v>3000</v>
      </c>
      <c r="C587" t="s">
        <v>0</v>
      </c>
      <c r="D587" t="s">
        <v>870</v>
      </c>
      <c r="E587" t="s">
        <v>1400</v>
      </c>
      <c r="F587" t="s">
        <v>2568</v>
      </c>
      <c r="G587" t="str">
        <f t="shared" si="9"/>
        <v>https://wa.me/905425127759?text=%2AZ%C4%B0GON%20POTA%20CAMLI%2A%20%C3%BCr%C3%BCn%C3%BC%20hakk%C4%B1nda%20bilgi%20almak%20istiyorum.</v>
      </c>
    </row>
    <row r="588" spans="1:7" x14ac:dyDescent="0.25">
      <c r="A588" t="s">
        <v>696</v>
      </c>
      <c r="B588" s="1">
        <v>6000</v>
      </c>
      <c r="C588" t="s">
        <v>0</v>
      </c>
      <c r="D588" t="s">
        <v>870</v>
      </c>
      <c r="E588" t="s">
        <v>1400</v>
      </c>
      <c r="F588" t="s">
        <v>2569</v>
      </c>
      <c r="G588" t="str">
        <f t="shared" si="9"/>
        <v>https://wa.me/905425127759?text=%2AZ%C4%B0GON%20SEDEF%20D%C3%9CZ%20BEYAZ%2A%20%C3%BCr%C3%BCn%C3%BC%20hakk%C4%B1nda%20bilgi%20almak%20istiyorum.</v>
      </c>
    </row>
    <row r="589" spans="1:7" x14ac:dyDescent="0.25">
      <c r="A589" t="s">
        <v>375</v>
      </c>
      <c r="B589" s="1">
        <v>0</v>
      </c>
      <c r="C589" t="s">
        <v>0</v>
      </c>
      <c r="D589" t="s">
        <v>870</v>
      </c>
      <c r="E589" t="s">
        <v>1400</v>
      </c>
      <c r="F589" t="s">
        <v>2570</v>
      </c>
      <c r="G589" t="str">
        <f t="shared" si="9"/>
        <v>https://wa.me/905425127759?text=%2AZ%C4%B0GON%20TEKERL%C4%B0%20GOLD%2A%20%C3%BCr%C3%BCn%C3%BC%20hakk%C4%B1nda%20bilgi%20almak%20istiyorum.</v>
      </c>
    </row>
    <row r="590" spans="1:7" x14ac:dyDescent="0.25">
      <c r="A590" t="s">
        <v>376</v>
      </c>
      <c r="B590" s="1">
        <v>0</v>
      </c>
      <c r="C590" t="s">
        <v>0</v>
      </c>
      <c r="D590" t="s">
        <v>870</v>
      </c>
      <c r="E590" t="s">
        <v>1400</v>
      </c>
      <c r="F590" t="s">
        <v>2571</v>
      </c>
      <c r="G590" t="str">
        <f t="shared" si="9"/>
        <v>https://wa.me/905425127759?text=%2AZ%C4%B0GON%20TEKERL%C4%B0%20N%C4%B0KEL%2A%20%C3%BCr%C3%BCn%C3%BC%20hakk%C4%B1nda%20bilgi%20almak%20istiyorum.</v>
      </c>
    </row>
    <row r="591" spans="1:7" x14ac:dyDescent="0.25">
      <c r="A591" t="s">
        <v>377</v>
      </c>
      <c r="B591" s="1">
        <v>0</v>
      </c>
      <c r="C591" t="s">
        <v>0</v>
      </c>
      <c r="D591" t="s">
        <v>870</v>
      </c>
      <c r="E591" t="s">
        <v>1400</v>
      </c>
      <c r="F591" t="s">
        <v>2572</v>
      </c>
      <c r="G591" t="str">
        <f t="shared" si="9"/>
        <v>https://wa.me/905425127759?text=%2AZ%C4%B0GON%20TEKERL%C4%B0%20S%C4%B0YAH%2A%20%C3%BCr%C3%BCn%C3%BC%20hakk%C4%B1nda%20bilgi%20almak%20istiyorum.</v>
      </c>
    </row>
    <row r="592" spans="1:7" x14ac:dyDescent="0.25">
      <c r="A592" t="s">
        <v>378</v>
      </c>
      <c r="B592" s="1">
        <v>0</v>
      </c>
      <c r="C592" t="s">
        <v>0</v>
      </c>
      <c r="D592" t="s">
        <v>870</v>
      </c>
      <c r="E592" t="s">
        <v>1400</v>
      </c>
      <c r="F592" t="s">
        <v>2573</v>
      </c>
      <c r="G592" t="str">
        <f t="shared" si="9"/>
        <v>https://wa.me/905425127759?text=%2AZ%C4%B0GON%20TEPS%C4%B0%20CAMLI%20%2A%20%C3%BCr%C3%BCn%C3%BC%20hakk%C4%B1nda%20bilgi%20almak%20istiyorum.</v>
      </c>
    </row>
    <row r="593" spans="1:7" x14ac:dyDescent="0.25">
      <c r="A593" t="s">
        <v>379</v>
      </c>
      <c r="B593" s="1">
        <v>0</v>
      </c>
      <c r="C593" t="s">
        <v>0</v>
      </c>
      <c r="D593" t="s">
        <v>870</v>
      </c>
      <c r="E593" t="s">
        <v>1400</v>
      </c>
      <c r="F593" t="s">
        <v>2574</v>
      </c>
      <c r="G593" t="str">
        <f t="shared" si="9"/>
        <v>https://wa.me/905425127759?text=%2AZ%C4%B0GON%20TEPS%C4%B0%20TND%2A%20%C3%BCr%C3%BCn%C3%BC%20hakk%C4%B1nda%20bilgi%20almak%20istiyorum.</v>
      </c>
    </row>
    <row r="594" spans="1:7" x14ac:dyDescent="0.25">
      <c r="A594" t="s">
        <v>380</v>
      </c>
      <c r="B594" s="1">
        <v>0</v>
      </c>
      <c r="C594" t="s">
        <v>0</v>
      </c>
      <c r="D594" t="s">
        <v>870</v>
      </c>
      <c r="E594" t="s">
        <v>1400</v>
      </c>
      <c r="F594" t="s">
        <v>2575</v>
      </c>
      <c r="G594" t="str">
        <f t="shared" si="9"/>
        <v>https://wa.me/905425127759?text=%2AZ%C4%B0GON%20TEPS%C4%B0%20YEN%C4%B0%20YILDIZ%20%2A%20%C3%BCr%C3%BCn%C3%BC%20hakk%C4%B1nda%20bilgi%20almak%20istiyorum.</v>
      </c>
    </row>
    <row r="595" spans="1:7" x14ac:dyDescent="0.25">
      <c r="A595" t="s">
        <v>844</v>
      </c>
      <c r="B595" s="1">
        <v>6000</v>
      </c>
      <c r="C595" t="s">
        <v>0</v>
      </c>
      <c r="D595" t="s">
        <v>870</v>
      </c>
      <c r="E595" t="s">
        <v>1400</v>
      </c>
      <c r="F595" t="s">
        <v>2579</v>
      </c>
      <c r="G595" t="str">
        <f t="shared" si="9"/>
        <v>https://wa.me/905425127759?text=%2AZ%C4%B0GON%20WOOD%20%28%20PYRZ%29%2A%20%C3%BCr%C3%BCn%C3%BC%20hakk%C4%B1nda%20bilgi%20almak%20istiyorum.</v>
      </c>
    </row>
    <row r="596" spans="1:7" x14ac:dyDescent="0.25">
      <c r="A596" t="s">
        <v>381</v>
      </c>
      <c r="B596" s="1">
        <v>0</v>
      </c>
      <c r="C596" t="s">
        <v>0</v>
      </c>
      <c r="D596" t="s">
        <v>870</v>
      </c>
      <c r="E596" t="s">
        <v>1400</v>
      </c>
      <c r="F596" t="s">
        <v>2576</v>
      </c>
      <c r="G596" t="str">
        <f t="shared" si="9"/>
        <v>https://wa.me/905425127759?text=%2AZ%C4%B0GON%20YUVARLAK%20CAMLI%20KU%C4%9EU%2A%20%C3%BCr%C3%BCn%C3%BC%20hakk%C4%B1nda%20bilgi%20almak%20istiyorum.</v>
      </c>
    </row>
    <row r="597" spans="1:7" x14ac:dyDescent="0.25">
      <c r="A597" t="s">
        <v>594</v>
      </c>
      <c r="B597" s="1">
        <v>60</v>
      </c>
      <c r="C597" t="s">
        <v>0</v>
      </c>
      <c r="D597" t="s">
        <v>869</v>
      </c>
      <c r="E597" t="s">
        <v>1400</v>
      </c>
      <c r="F597" t="s">
        <v>1373</v>
      </c>
      <c r="G597" t="str">
        <f t="shared" si="9"/>
        <v>https://wa.me/905425127759?text=%2A10MM%20BEYAZ%20HORTUM%20%2A%20%C3%BCr%C3%BCn%C3%BC%20hakk%C4%B1nda%20bilgi%20almak%20istiyorum.</v>
      </c>
    </row>
    <row r="598" spans="1:7" x14ac:dyDescent="0.25">
      <c r="A598" t="s">
        <v>595</v>
      </c>
      <c r="B598" s="1">
        <v>70</v>
      </c>
      <c r="C598" t="s">
        <v>0</v>
      </c>
      <c r="D598" t="s">
        <v>869</v>
      </c>
      <c r="E598" t="s">
        <v>1400</v>
      </c>
      <c r="F598" t="s">
        <v>1374</v>
      </c>
      <c r="G598" t="str">
        <f t="shared" si="9"/>
        <v>https://wa.me/905425127759?text=%2A10MM%20SANAY%C4%B0%20HORTUM%20%2A%20%C3%BCr%C3%BCn%C3%BC%20hakk%C4%B1nda%20bilgi%20almak%20istiyorum.</v>
      </c>
    </row>
    <row r="599" spans="1:7" x14ac:dyDescent="0.25">
      <c r="A599" t="s">
        <v>596</v>
      </c>
      <c r="B599" s="1">
        <v>70</v>
      </c>
      <c r="C599" t="s">
        <v>0</v>
      </c>
      <c r="D599" t="s">
        <v>869</v>
      </c>
      <c r="E599" t="s">
        <v>1400</v>
      </c>
      <c r="F599" t="s">
        <v>1375</v>
      </c>
      <c r="G599" t="str">
        <f t="shared" si="9"/>
        <v>https://wa.me/905425127759?text=%2A10MM%20SARI%20HORTUM%20%2A%20%C3%BCr%C3%BCn%C3%BC%20hakk%C4%B1nda%20bilgi%20almak%20istiyorum.</v>
      </c>
    </row>
    <row r="600" spans="1:7" x14ac:dyDescent="0.25">
      <c r="A600" t="s">
        <v>391</v>
      </c>
      <c r="B600" s="1">
        <v>100</v>
      </c>
      <c r="C600" t="s">
        <v>0</v>
      </c>
      <c r="D600" t="s">
        <v>869</v>
      </c>
      <c r="E600" t="s">
        <v>1400</v>
      </c>
      <c r="F600" t="s">
        <v>1258</v>
      </c>
      <c r="G600" t="str">
        <f t="shared" si="9"/>
        <v>https://wa.me/905425127759?text=%2A3%20L%C3%9C%20TE%2A%20%C3%BCr%C3%BCn%C3%BC%20hakk%C4%B1nda%20bilgi%20almak%20istiyorum.</v>
      </c>
    </row>
    <row r="601" spans="1:7" x14ac:dyDescent="0.25">
      <c r="A601" t="s">
        <v>597</v>
      </c>
      <c r="B601" s="1">
        <v>140</v>
      </c>
      <c r="C601" t="s">
        <v>0</v>
      </c>
      <c r="D601" t="s">
        <v>869</v>
      </c>
      <c r="E601" t="s">
        <v>1400</v>
      </c>
      <c r="F601" t="s">
        <v>1376</v>
      </c>
      <c r="G601" t="str">
        <f t="shared" si="9"/>
        <v>https://wa.me/905425127759?text=%2A8MM%20%C4%B0K%C4%B0Z%20KAYNAK%20HORTUMU%2A%20%C3%BCr%C3%BCn%C3%BC%20hakk%C4%B1nda%20bilgi%20almak%20istiyorum.</v>
      </c>
    </row>
    <row r="602" spans="1:7" x14ac:dyDescent="0.25">
      <c r="A602" t="s">
        <v>598</v>
      </c>
      <c r="B602" s="1">
        <v>50</v>
      </c>
      <c r="C602" t="s">
        <v>0</v>
      </c>
      <c r="D602" t="s">
        <v>869</v>
      </c>
      <c r="E602" t="s">
        <v>1400</v>
      </c>
      <c r="F602" t="s">
        <v>1377</v>
      </c>
      <c r="G602" t="str">
        <f t="shared" si="9"/>
        <v>https://wa.me/905425127759?text=%2A8MM%20MAV%C4%B0%20HORTUM%2A%20%C3%BCr%C3%BCn%C3%BC%20hakk%C4%B1nda%20bilgi%20almak%20istiyorum.</v>
      </c>
    </row>
    <row r="603" spans="1:7" x14ac:dyDescent="0.25">
      <c r="A603" t="s">
        <v>2351</v>
      </c>
      <c r="B603" s="1">
        <v>63</v>
      </c>
      <c r="C603" t="s">
        <v>0</v>
      </c>
      <c r="D603" t="s">
        <v>869</v>
      </c>
      <c r="E603" t="s">
        <v>1400</v>
      </c>
      <c r="F603" t="s">
        <v>2493</v>
      </c>
      <c r="G603" t="str">
        <f t="shared" si="9"/>
        <v>https://wa.me/905425127759?text=%2A8MM%20SANAY%C4%B0%2FOKS%C4%B0JEN%20HORTUM%2A%20%C3%BCr%C3%BCn%C3%BC%20hakk%C4%B1nda%20bilgi%20almak%20istiyorum.</v>
      </c>
    </row>
    <row r="604" spans="1:7" x14ac:dyDescent="0.25">
      <c r="A604" t="s">
        <v>599</v>
      </c>
      <c r="B604" s="1">
        <v>60</v>
      </c>
      <c r="C604" t="s">
        <v>0</v>
      </c>
      <c r="D604" t="s">
        <v>869</v>
      </c>
      <c r="E604" t="s">
        <v>1400</v>
      </c>
      <c r="F604" t="s">
        <v>1378</v>
      </c>
      <c r="G604" t="str">
        <f t="shared" si="9"/>
        <v>https://wa.me/905425127759?text=%2A8MM%20SARI%20HORTUM%2A%20%C3%BCr%C3%BCn%C3%BC%20hakk%C4%B1nda%20bilgi%20almak%20istiyorum.</v>
      </c>
    </row>
    <row r="605" spans="1:7" x14ac:dyDescent="0.25">
      <c r="A605" t="s">
        <v>600</v>
      </c>
      <c r="B605" s="1">
        <v>38</v>
      </c>
      <c r="C605" t="s">
        <v>0</v>
      </c>
      <c r="D605" t="s">
        <v>869</v>
      </c>
      <c r="E605" t="s">
        <v>1400</v>
      </c>
      <c r="F605" t="s">
        <v>1379</v>
      </c>
      <c r="G605" t="str">
        <f t="shared" si="9"/>
        <v>https://wa.me/905425127759?text=%2A9%20MM%20MAV%C4%B0%20HORTUM%2A%20%C3%BCr%C3%BCn%C3%BC%20hakk%C4%B1nda%20bilgi%20almak%20istiyorum.</v>
      </c>
    </row>
    <row r="606" spans="1:7" x14ac:dyDescent="0.25">
      <c r="A606" t="s">
        <v>406</v>
      </c>
      <c r="B606" s="1">
        <v>2</v>
      </c>
      <c r="C606" t="s">
        <v>0</v>
      </c>
      <c r="D606" t="s">
        <v>869</v>
      </c>
      <c r="E606" t="s">
        <v>1400</v>
      </c>
      <c r="F606" t="s">
        <v>1259</v>
      </c>
      <c r="G606" t="str">
        <f t="shared" si="9"/>
        <v>https://wa.me/905425127759?text=%2AAL%C4%B0M%C4%B0NYUM%20PUL%2A%20%C3%BCr%C3%BCn%C3%BC%20hakk%C4%B1nda%20bilgi%20almak%20istiyorum.</v>
      </c>
    </row>
    <row r="607" spans="1:7" x14ac:dyDescent="0.25">
      <c r="A607" t="s">
        <v>407</v>
      </c>
      <c r="B607" s="1">
        <v>800</v>
      </c>
      <c r="C607" t="s">
        <v>0</v>
      </c>
      <c r="D607" t="s">
        <v>869</v>
      </c>
      <c r="E607" t="s">
        <v>1400</v>
      </c>
      <c r="F607" t="s">
        <v>1260</v>
      </c>
      <c r="G607" t="str">
        <f t="shared" si="9"/>
        <v>https://wa.me/905425127759?text=%2AALTINBO%C4%9EA%20K%C4%B0L%C4%B0TL%C4%B0%20METAL%20DEDANT%C3%96R%2010MM%2A%20%C3%BCr%C3%BCn%C3%BC%20hakk%C4%B1nda%20bilgi%20almak%20istiyorum.</v>
      </c>
    </row>
    <row r="608" spans="1:7" x14ac:dyDescent="0.25">
      <c r="A608" t="s">
        <v>11</v>
      </c>
      <c r="B608" s="1">
        <v>800</v>
      </c>
      <c r="C608" t="s">
        <v>0</v>
      </c>
      <c r="D608" t="s">
        <v>869</v>
      </c>
      <c r="E608" t="s">
        <v>1400</v>
      </c>
      <c r="F608" t="s">
        <v>1255</v>
      </c>
      <c r="G608" t="str">
        <f t="shared" si="9"/>
        <v>https://wa.me/905425127759?text=%2AALTINBO%C4%9EA%20K%C4%B0L%C4%B0TL%C4%B0%20METAL%20DEDANT%C3%96R%208MM%2A%20%C3%BCr%C3%BCn%C3%BC%20hakk%C4%B1nda%20bilgi%20almak%20istiyorum.</v>
      </c>
    </row>
    <row r="609" spans="1:7" x14ac:dyDescent="0.25">
      <c r="A609" t="s">
        <v>408</v>
      </c>
      <c r="B609" s="1">
        <v>0</v>
      </c>
      <c r="C609" t="s">
        <v>0</v>
      </c>
      <c r="D609" t="s">
        <v>869</v>
      </c>
      <c r="E609" t="s">
        <v>1400</v>
      </c>
      <c r="F609" t="s">
        <v>1261</v>
      </c>
      <c r="G609" t="str">
        <f t="shared" si="9"/>
        <v>https://wa.me/905425127759?text=%2AALTINBO%C4%9EA%20KOMB%C4%B0%20DEDANT%C3%96R%2A%20%C3%BCr%C3%BCn%C3%BC%20hakk%C4%B1nda%20bilgi%20almak%20istiyorum.</v>
      </c>
    </row>
    <row r="610" spans="1:7" x14ac:dyDescent="0.25">
      <c r="A610" t="s">
        <v>409</v>
      </c>
      <c r="B610" s="1">
        <v>0</v>
      </c>
      <c r="C610" t="s">
        <v>0</v>
      </c>
      <c r="D610" t="s">
        <v>869</v>
      </c>
      <c r="E610" t="s">
        <v>1400</v>
      </c>
      <c r="F610" t="s">
        <v>1262</v>
      </c>
      <c r="G610" t="str">
        <f t="shared" si="9"/>
        <v>https://wa.me/905425127759?text=%2AALTINBO%C4%9EA%20NOVACOMENT%20DEDANT%C3%96R%204%20KG%2A%20%C3%BCr%C3%BCn%C3%BC%20hakk%C4%B1nda%20bilgi%20almak%20istiyorum.</v>
      </c>
    </row>
    <row r="611" spans="1:7" x14ac:dyDescent="0.25">
      <c r="A611" t="s">
        <v>410</v>
      </c>
      <c r="B611" s="1">
        <v>800</v>
      </c>
      <c r="C611" t="s">
        <v>0</v>
      </c>
      <c r="D611" t="s">
        <v>869</v>
      </c>
      <c r="E611" t="s">
        <v>1400</v>
      </c>
      <c r="F611" t="s">
        <v>1263</v>
      </c>
      <c r="G611" t="str">
        <f t="shared" si="9"/>
        <v>https://wa.me/905425127759?text=%2AALTINBO%C4%9EA%20UFAK%20SANAY%C4%B0%20DEDANT%C3%96R%2A%20%C3%BCr%C3%BCn%C3%BC%20hakk%C4%B1nda%20bilgi%20almak%20istiyorum.</v>
      </c>
    </row>
    <row r="612" spans="1:7" x14ac:dyDescent="0.25">
      <c r="A612" t="s">
        <v>411</v>
      </c>
      <c r="B612" s="1">
        <v>0</v>
      </c>
      <c r="C612" t="s">
        <v>0</v>
      </c>
      <c r="D612" t="s">
        <v>869</v>
      </c>
      <c r="E612" t="s">
        <v>1400</v>
      </c>
      <c r="F612" t="s">
        <v>1264</v>
      </c>
      <c r="G612" t="str">
        <f t="shared" si="9"/>
        <v>https://wa.me/905425127759?text=%2AAR%C3%87EL%C4%B0K%20AL%C4%B0M%C4%B0NYUM%20BEK%2A%20%C3%BCr%C3%BCn%C3%BC%20hakk%C4%B1nda%20bilgi%20almak%20istiyorum.</v>
      </c>
    </row>
    <row r="613" spans="1:7" x14ac:dyDescent="0.25">
      <c r="A613" t="s">
        <v>604</v>
      </c>
      <c r="B613" s="1">
        <v>550</v>
      </c>
      <c r="C613" t="s">
        <v>0</v>
      </c>
      <c r="D613" t="s">
        <v>869</v>
      </c>
      <c r="E613" t="s">
        <v>1400</v>
      </c>
      <c r="F613" t="s">
        <v>1381</v>
      </c>
      <c r="G613" t="str">
        <f t="shared" si="9"/>
        <v>https://wa.me/905425127759?text=%2AAR%C3%87EL%C4%B0K%20AL%C4%B0M%C4%B0NYUM%20HAVUZ%2BS%C4%B0YAH%20KAPAK%2A%20%C3%BCr%C3%BCn%C3%BC%20hakk%C4%B1nda%20bilgi%20almak%20istiyorum.</v>
      </c>
    </row>
    <row r="614" spans="1:7" x14ac:dyDescent="0.25">
      <c r="A614" t="s">
        <v>606</v>
      </c>
      <c r="B614" s="1">
        <v>400</v>
      </c>
      <c r="C614" t="s">
        <v>0</v>
      </c>
      <c r="D614" t="s">
        <v>869</v>
      </c>
      <c r="E614" t="s">
        <v>1400</v>
      </c>
      <c r="F614" t="s">
        <v>1382</v>
      </c>
      <c r="G614" t="str">
        <f t="shared" si="9"/>
        <v>https://wa.me/905425127759?text=%2AAR%C3%87EL%C4%B0K%20S%C4%B0YAH%20KAPAK%20TAKIM%2A%20%C3%BCr%C3%BCn%C3%BC%20hakk%C4%B1nda%20bilgi%20almak%20istiyorum.</v>
      </c>
    </row>
    <row r="615" spans="1:7" x14ac:dyDescent="0.25">
      <c r="A615" t="s">
        <v>413</v>
      </c>
      <c r="B615" s="1">
        <v>180</v>
      </c>
      <c r="C615" t="s">
        <v>0</v>
      </c>
      <c r="D615" t="s">
        <v>869</v>
      </c>
      <c r="E615" t="s">
        <v>1400</v>
      </c>
      <c r="F615" t="s">
        <v>2494</v>
      </c>
      <c r="G615" t="str">
        <f t="shared" si="9"/>
        <v>https://wa.me/905425127759?text=%2AAYGAZ%20HORTUM%20G%C4%B0R%C4%B0%C5%9EL%C4%B0%20MUSLUK%20%2A%20%C3%BCr%C3%BCn%C3%BC%20hakk%C4%B1nda%20bilgi%20almak%20istiyorum.</v>
      </c>
    </row>
    <row r="616" spans="1:7" x14ac:dyDescent="0.25">
      <c r="A616" t="s">
        <v>414</v>
      </c>
      <c r="B616" s="1">
        <v>170</v>
      </c>
      <c r="C616" t="s">
        <v>0</v>
      </c>
      <c r="D616" t="s">
        <v>869</v>
      </c>
      <c r="E616" t="s">
        <v>1400</v>
      </c>
      <c r="F616" t="s">
        <v>1265</v>
      </c>
      <c r="G616" t="str">
        <f t="shared" si="9"/>
        <v>https://wa.me/905425127759?text=%2AAYGAZ%20MUSLUK%2A%20%C3%BCr%C3%BCn%C3%BC%20hakk%C4%B1nda%20bilgi%20almak%20istiyorum.</v>
      </c>
    </row>
    <row r="617" spans="1:7" x14ac:dyDescent="0.25">
      <c r="A617" t="s">
        <v>415</v>
      </c>
      <c r="B617" s="1">
        <v>1300</v>
      </c>
      <c r="C617" t="s">
        <v>0</v>
      </c>
      <c r="D617" t="s">
        <v>869</v>
      </c>
      <c r="E617" t="s">
        <v>1400</v>
      </c>
      <c r="F617" t="s">
        <v>1266</v>
      </c>
      <c r="G617" t="str">
        <f t="shared" si="9"/>
        <v>https://wa.me/905425127759?text=%2ABM%20DEB%C4%B0L%C4%B0%20SANAY%C4%B0%20DEDANT%C3%96R%2A%20%C3%BCr%C3%BCn%C3%BC%20hakk%C4%B1nda%20bilgi%20almak%20istiyorum.</v>
      </c>
    </row>
    <row r="618" spans="1:7" x14ac:dyDescent="0.25">
      <c r="A618" t="s">
        <v>416</v>
      </c>
      <c r="B618" s="1">
        <v>0</v>
      </c>
      <c r="C618" t="s">
        <v>0</v>
      </c>
      <c r="D618" t="s">
        <v>869</v>
      </c>
      <c r="E618" t="s">
        <v>1400</v>
      </c>
      <c r="F618" t="s">
        <v>1267</v>
      </c>
      <c r="G618" t="str">
        <f t="shared" si="9"/>
        <v>https://wa.me/905425127759?text=%2ABM%20METAL%20DEDANT%C3%96R%208MM%2A%20%C3%BCr%C3%BCn%C3%BC%20hakk%C4%B1nda%20bilgi%20almak%20istiyorum.</v>
      </c>
    </row>
    <row r="619" spans="1:7" x14ac:dyDescent="0.25">
      <c r="A619" t="s">
        <v>417</v>
      </c>
      <c r="B619" s="1">
        <v>0</v>
      </c>
      <c r="C619" t="s">
        <v>0</v>
      </c>
      <c r="D619" t="s">
        <v>869</v>
      </c>
      <c r="E619" t="s">
        <v>1400</v>
      </c>
      <c r="F619" t="s">
        <v>1268</v>
      </c>
      <c r="G619" t="str">
        <f t="shared" si="9"/>
        <v>https://wa.me/905425127759?text=%2ABM%20PLAST%C4%B0K%20DEDANT%C3%96R%2010%20MM%2A%20%C3%BCr%C3%BCn%C3%BC%20hakk%C4%B1nda%20bilgi%20almak%20istiyorum.</v>
      </c>
    </row>
    <row r="620" spans="1:7" x14ac:dyDescent="0.25">
      <c r="A620" t="s">
        <v>418</v>
      </c>
      <c r="B620" s="1">
        <v>500</v>
      </c>
      <c r="C620" t="s">
        <v>0</v>
      </c>
      <c r="D620" t="s">
        <v>869</v>
      </c>
      <c r="E620" t="s">
        <v>1400</v>
      </c>
      <c r="F620" t="s">
        <v>1269</v>
      </c>
      <c r="G620" t="str">
        <f t="shared" si="9"/>
        <v>https://wa.me/905425127759?text=%2ABM%20PLAST%C4%B0K%20DEDANT%C3%96R%208%20MM%2A%20%C3%BCr%C3%BCn%C3%BC%20hakk%C4%B1nda%20bilgi%20almak%20istiyorum.</v>
      </c>
    </row>
    <row r="621" spans="1:7" x14ac:dyDescent="0.25">
      <c r="A621" t="s">
        <v>2282</v>
      </c>
      <c r="B621" s="1">
        <v>600</v>
      </c>
      <c r="C621" t="s">
        <v>0</v>
      </c>
      <c r="D621" t="s">
        <v>869</v>
      </c>
      <c r="E621" t="s">
        <v>1400</v>
      </c>
      <c r="F621" t="s">
        <v>2495</v>
      </c>
      <c r="G621" t="str">
        <f t="shared" si="9"/>
        <v>https://wa.me/905425127759?text=%2ABM%20RED%C3%9CKS%C4%B0YON%20%28P%C4%B0KN%C4%B0K%20MUSLUK%20APARATLI%29%2A%20%C3%BCr%C3%BCn%C3%BC%20hakk%C4%B1nda%20bilgi%20almak%20istiyorum.</v>
      </c>
    </row>
    <row r="622" spans="1:7" x14ac:dyDescent="0.25">
      <c r="A622" t="s">
        <v>419</v>
      </c>
      <c r="B622" s="1">
        <v>0</v>
      </c>
      <c r="C622" t="s">
        <v>0</v>
      </c>
      <c r="D622" t="s">
        <v>869</v>
      </c>
      <c r="E622" t="s">
        <v>1400</v>
      </c>
      <c r="F622" t="s">
        <v>1270</v>
      </c>
      <c r="G622" t="str">
        <f t="shared" si="9"/>
        <v>https://wa.me/905425127759?text=%2ABM%20UFAK%20SANAY%C4%B0%20METAL%20DEDANT%C3%96R%2A%20%C3%BCr%C3%BCn%C3%BC%20hakk%C4%B1nda%20bilgi%20almak%20istiyorum.</v>
      </c>
    </row>
    <row r="623" spans="1:7" x14ac:dyDescent="0.25">
      <c r="A623" t="s">
        <v>2623</v>
      </c>
      <c r="B623" s="1">
        <v>880</v>
      </c>
      <c r="C623" t="s">
        <v>0</v>
      </c>
      <c r="D623" t="s">
        <v>869</v>
      </c>
      <c r="E623" t="s">
        <v>2625</v>
      </c>
      <c r="F623" t="s">
        <v>2624</v>
      </c>
      <c r="G623" t="str">
        <f t="shared" si="9"/>
        <v>https://wa.me/905425127759?text=%2ACONTALAR%2A%20%C3%BCr%C3%BCn%C3%BC%20hakk%C4%B1nda%20bilgi%20almak%20istiyorum.</v>
      </c>
    </row>
    <row r="624" spans="1:7" x14ac:dyDescent="0.25">
      <c r="A624" t="s">
        <v>423</v>
      </c>
      <c r="B624" s="1">
        <v>120</v>
      </c>
      <c r="C624" t="s">
        <v>0</v>
      </c>
      <c r="D624" t="s">
        <v>869</v>
      </c>
      <c r="E624" t="s">
        <v>1400</v>
      </c>
      <c r="F624" t="s">
        <v>1271</v>
      </c>
      <c r="G624" t="str">
        <f t="shared" si="9"/>
        <v>https://wa.me/905425127759?text=%2ADAMACANA%20YAYLI%20KAPAK%2A%20%C3%BCr%C3%BCn%C3%BC%20hakk%C4%B1nda%20bilgi%20almak%20istiyorum.</v>
      </c>
    </row>
    <row r="625" spans="1:7" x14ac:dyDescent="0.25">
      <c r="A625" t="s">
        <v>867</v>
      </c>
      <c r="B625" s="1">
        <v>950</v>
      </c>
      <c r="C625" t="s">
        <v>0</v>
      </c>
      <c r="D625" t="s">
        <v>869</v>
      </c>
      <c r="E625" t="s">
        <v>1400</v>
      </c>
      <c r="F625" t="s">
        <v>1272</v>
      </c>
      <c r="G625" t="str">
        <f t="shared" si="9"/>
        <v>https://wa.me/905425127759?text=%2ADANA%20KUYRU%C4%9EU%201%2F2%2A%20%C3%BCr%C3%BCn%C3%BC%20hakk%C4%B1nda%20bilgi%20almak%20istiyorum.</v>
      </c>
    </row>
    <row r="626" spans="1:7" x14ac:dyDescent="0.25">
      <c r="A626" t="s">
        <v>424</v>
      </c>
      <c r="B626" s="1">
        <v>970</v>
      </c>
      <c r="C626" t="s">
        <v>0</v>
      </c>
      <c r="D626" t="s">
        <v>869</v>
      </c>
      <c r="E626" t="s">
        <v>1400</v>
      </c>
      <c r="F626" t="s">
        <v>1273</v>
      </c>
      <c r="G626" t="str">
        <f t="shared" si="9"/>
        <v>https://wa.me/905425127759?text=%2ADEDANT%C3%96RL%C3%9C%20NURGAZ%20KAMP%20SOBA%20AYGAZ%2A%20%C3%BCr%C3%BCn%C3%BC%20hakk%C4%B1nda%20bilgi%20almak%20istiyorum.</v>
      </c>
    </row>
    <row r="627" spans="1:7" x14ac:dyDescent="0.25">
      <c r="A627" t="s">
        <v>425</v>
      </c>
      <c r="B627" s="1">
        <v>990</v>
      </c>
      <c r="C627" t="s">
        <v>0</v>
      </c>
      <c r="D627" t="s">
        <v>869</v>
      </c>
      <c r="E627" t="s">
        <v>1400</v>
      </c>
      <c r="F627" t="s">
        <v>1274</v>
      </c>
      <c r="G627" t="str">
        <f t="shared" si="9"/>
        <v>https://wa.me/905425127759?text=%2ADEDANT%C3%96RL%C3%9C%20NURGAZ%20KAMP%20SOBA%20%C4%B0PRA%2A%20%C3%BCr%C3%BCn%C3%BC%20hakk%C4%B1nda%20bilgi%20almak%20istiyorum.</v>
      </c>
    </row>
    <row r="628" spans="1:7" x14ac:dyDescent="0.25">
      <c r="A628" t="s">
        <v>426</v>
      </c>
      <c r="B628" s="1">
        <v>70</v>
      </c>
      <c r="C628" t="s">
        <v>0</v>
      </c>
      <c r="D628" t="s">
        <v>869</v>
      </c>
      <c r="E628" t="s">
        <v>1400</v>
      </c>
      <c r="F628" t="s">
        <v>2496</v>
      </c>
      <c r="G628" t="str">
        <f t="shared" si="9"/>
        <v>https://wa.me/905425127759?text=%2AD%C4%B0K%20HORTUM%20G%C4%B0R%C4%B0%C5%9E%C4%B0%2A%20%C3%BCr%C3%BCn%C3%BC%20hakk%C4%B1nda%20bilgi%20almak%20istiyorum.</v>
      </c>
    </row>
    <row r="629" spans="1:7" x14ac:dyDescent="0.25">
      <c r="A629" t="s">
        <v>805</v>
      </c>
      <c r="B629" s="1">
        <v>0</v>
      </c>
      <c r="C629" t="s">
        <v>0</v>
      </c>
      <c r="D629" t="s">
        <v>869</v>
      </c>
      <c r="E629" t="s">
        <v>1400</v>
      </c>
      <c r="F629" t="s">
        <v>1275</v>
      </c>
      <c r="G629" t="str">
        <f t="shared" si="9"/>
        <v>https://wa.me/905425127759?text=%2AD%C4%B0KSAN%20KAMP%20OCAK%20AYGAZ%2A%20%C3%BCr%C3%BCn%C3%BC%20hakk%C4%B1nda%20bilgi%20almak%20istiyorum.</v>
      </c>
    </row>
    <row r="630" spans="1:7" x14ac:dyDescent="0.25">
      <c r="A630" t="s">
        <v>806</v>
      </c>
      <c r="B630" s="1">
        <v>0</v>
      </c>
      <c r="C630" t="s">
        <v>0</v>
      </c>
      <c r="D630" t="s">
        <v>869</v>
      </c>
      <c r="E630" t="s">
        <v>1400</v>
      </c>
      <c r="F630" t="s">
        <v>1276</v>
      </c>
      <c r="G630" t="str">
        <f t="shared" si="9"/>
        <v>https://wa.me/905425127759?text=%2AD%C4%B0KSAN%20KAMP%20OCAK%20%C4%B0PRA%2A%20%C3%BCr%C3%BCn%C3%BC%20hakk%C4%B1nda%20bilgi%20almak%20istiyorum.</v>
      </c>
    </row>
    <row r="631" spans="1:7" x14ac:dyDescent="0.25">
      <c r="A631" t="s">
        <v>427</v>
      </c>
      <c r="B631" s="1">
        <v>120</v>
      </c>
      <c r="C631" t="s">
        <v>0</v>
      </c>
      <c r="D631" t="s">
        <v>869</v>
      </c>
      <c r="E631" t="s">
        <v>1400</v>
      </c>
      <c r="F631" t="s">
        <v>1277</v>
      </c>
      <c r="G631" t="str">
        <f t="shared" si="9"/>
        <v>https://wa.me/905425127759?text=%2ADO%C4%9EALGAZ%20D%C4%B0RSEK%20%28%C4%B0K%C4%B0%20TARAFI%20ERKEK%29%2A%20%C3%BCr%C3%BCn%C3%BC%20hakk%C4%B1nda%20bilgi%20almak%20istiyorum.</v>
      </c>
    </row>
    <row r="632" spans="1:7" x14ac:dyDescent="0.25">
      <c r="A632" t="s">
        <v>428</v>
      </c>
      <c r="B632" s="1">
        <v>900</v>
      </c>
      <c r="C632" t="s">
        <v>0</v>
      </c>
      <c r="D632" t="s">
        <v>869</v>
      </c>
      <c r="E632" t="s">
        <v>1400</v>
      </c>
      <c r="F632" t="s">
        <v>1278</v>
      </c>
      <c r="G632" t="str">
        <f t="shared" si="9"/>
        <v>https://wa.me/905425127759?text=%2ADO%C4%9EALGAZ%20HORTUMU%20100CM%2A%20%C3%BCr%C3%BCn%C3%BC%20hakk%C4%B1nda%20bilgi%20almak%20istiyorum.</v>
      </c>
    </row>
    <row r="633" spans="1:7" x14ac:dyDescent="0.25">
      <c r="A633" t="s">
        <v>429</v>
      </c>
      <c r="B633" s="1">
        <v>1000</v>
      </c>
      <c r="C633" t="s">
        <v>0</v>
      </c>
      <c r="D633" t="s">
        <v>869</v>
      </c>
      <c r="E633" t="s">
        <v>1400</v>
      </c>
      <c r="F633" t="s">
        <v>1279</v>
      </c>
      <c r="G633" t="str">
        <f t="shared" si="9"/>
        <v>https://wa.me/905425127759?text=%2ADO%C4%9EALGAZ%20HORTUMU%20125CM%2A%20%C3%BCr%C3%BCn%C3%BC%20hakk%C4%B1nda%20bilgi%20almak%20istiyorum.</v>
      </c>
    </row>
    <row r="634" spans="1:7" x14ac:dyDescent="0.25">
      <c r="A634" t="s">
        <v>430</v>
      </c>
      <c r="B634" s="1">
        <v>1100</v>
      </c>
      <c r="C634" t="s">
        <v>0</v>
      </c>
      <c r="D634" t="s">
        <v>869</v>
      </c>
      <c r="E634" t="s">
        <v>1400</v>
      </c>
      <c r="F634" t="s">
        <v>1280</v>
      </c>
      <c r="G634" t="str">
        <f t="shared" si="9"/>
        <v>https://wa.me/905425127759?text=%2ADO%C4%9EALGAZ%20HORTUMU%20150CM%2A%20%C3%BCr%C3%BCn%C3%BC%20hakk%C4%B1nda%20bilgi%20almak%20istiyorum.</v>
      </c>
    </row>
    <row r="635" spans="1:7" x14ac:dyDescent="0.25">
      <c r="A635" t="s">
        <v>431</v>
      </c>
      <c r="B635" s="1">
        <v>1250</v>
      </c>
      <c r="C635" t="s">
        <v>0</v>
      </c>
      <c r="D635" t="s">
        <v>869</v>
      </c>
      <c r="E635" t="s">
        <v>1400</v>
      </c>
      <c r="F635" t="s">
        <v>1281</v>
      </c>
      <c r="G635" t="str">
        <f t="shared" si="9"/>
        <v>https://wa.me/905425127759?text=%2ADO%C4%9EALGAZ%20HORTUMU%20200CM%2A%20%C3%BCr%C3%BCn%C3%BC%20hakk%C4%B1nda%20bilgi%20almak%20istiyorum.</v>
      </c>
    </row>
    <row r="636" spans="1:7" x14ac:dyDescent="0.25">
      <c r="A636" t="s">
        <v>432</v>
      </c>
      <c r="B636" s="1">
        <v>700</v>
      </c>
      <c r="C636" t="s">
        <v>0</v>
      </c>
      <c r="D636" t="s">
        <v>869</v>
      </c>
      <c r="E636" t="s">
        <v>1400</v>
      </c>
      <c r="F636" t="s">
        <v>1282</v>
      </c>
      <c r="G636" t="str">
        <f t="shared" si="9"/>
        <v>https://wa.me/905425127759?text=%2ADO%C4%9EALGAZ%20HORTUMU%2050CM%2A%20%C3%BCr%C3%BCn%C3%BC%20hakk%C4%B1nda%20bilgi%20almak%20istiyorum.</v>
      </c>
    </row>
    <row r="637" spans="1:7" x14ac:dyDescent="0.25">
      <c r="A637" t="s">
        <v>433</v>
      </c>
      <c r="B637" s="1">
        <v>800</v>
      </c>
      <c r="C637" t="s">
        <v>0</v>
      </c>
      <c r="D637" t="s">
        <v>869</v>
      </c>
      <c r="E637" t="s">
        <v>1400</v>
      </c>
      <c r="F637" t="s">
        <v>1283</v>
      </c>
      <c r="G637" t="str">
        <f t="shared" si="9"/>
        <v>https://wa.me/905425127759?text=%2ADO%C4%9EALGAZ%20HORTUMU%2075CM%2A%20%C3%BCr%C3%BCn%C3%BC%20hakk%C4%B1nda%20bilgi%20almak%20istiyorum.</v>
      </c>
    </row>
    <row r="638" spans="1:7" x14ac:dyDescent="0.25">
      <c r="A638" t="s">
        <v>434</v>
      </c>
      <c r="B638" s="1">
        <v>100</v>
      </c>
      <c r="C638" t="s">
        <v>0</v>
      </c>
      <c r="D638" t="s">
        <v>869</v>
      </c>
      <c r="E638" t="s">
        <v>1400</v>
      </c>
      <c r="F638" t="s">
        <v>2401</v>
      </c>
      <c r="G638" t="str">
        <f t="shared" si="9"/>
        <v>https://wa.me/905425127759?text=%2AELCEK-DAMACANA%20KULP%2A%20%C3%BCr%C3%BCn%C3%BC%20hakk%C4%B1nda%20bilgi%20almak%20istiyorum.</v>
      </c>
    </row>
    <row r="639" spans="1:7" x14ac:dyDescent="0.25">
      <c r="A639" t="s">
        <v>436</v>
      </c>
      <c r="B639" s="1">
        <v>70</v>
      </c>
      <c r="C639" t="s">
        <v>0</v>
      </c>
      <c r="D639" t="s">
        <v>869</v>
      </c>
      <c r="E639" t="s">
        <v>1400</v>
      </c>
      <c r="F639" t="s">
        <v>2497</v>
      </c>
      <c r="G639" t="str">
        <f t="shared" si="9"/>
        <v>https://wa.me/905425127759?text=%2AEN%20K%C3%9C%C3%87%C3%9CK%20DO%C4%9EALGAZ%20G%C4%B0R%C4%B0%C5%9E%C4%B0%2A%20%C3%BCr%C3%BCn%C3%BC%20hakk%C4%B1nda%20bilgi%20almak%20istiyorum.</v>
      </c>
    </row>
    <row r="640" spans="1:7" x14ac:dyDescent="0.25">
      <c r="A640" t="s">
        <v>437</v>
      </c>
      <c r="B640" s="1">
        <v>70</v>
      </c>
      <c r="C640" t="s">
        <v>0</v>
      </c>
      <c r="D640" t="s">
        <v>869</v>
      </c>
      <c r="E640" t="s">
        <v>1400</v>
      </c>
      <c r="F640" t="s">
        <v>2498</v>
      </c>
      <c r="G640" t="str">
        <f t="shared" si="9"/>
        <v>https://wa.me/905425127759?text=%2AEN%20K%C3%9C%C3%87%C3%9CK%20OCAK%20HORTUM%20G%C4%B0R%C4%B0%C5%9E%C4%B0%2A%20%C3%BCr%C3%BCn%C3%BC%20hakk%C4%B1nda%20bilgi%20almak%20istiyorum.</v>
      </c>
    </row>
    <row r="641" spans="1:7" x14ac:dyDescent="0.25">
      <c r="A641" t="s">
        <v>439</v>
      </c>
      <c r="B641" s="1">
        <v>70</v>
      </c>
      <c r="C641" t="s">
        <v>0</v>
      </c>
      <c r="D641" t="s">
        <v>869</v>
      </c>
      <c r="E641" t="s">
        <v>1400</v>
      </c>
      <c r="F641" t="s">
        <v>2499</v>
      </c>
      <c r="G641" t="str">
        <f t="shared" ref="G641:G704" si="10">"https://wa.me/905425127759?text=" &amp; _xlfn.ENCODEURL("*" &amp; A641 &amp; "* ürünü hakkında bilgi almak istiyorum.")</f>
        <v>https://wa.me/905425127759?text=%2AFIRIN%20DO%C4%9EALGAZ%20G%C4%B0R%C4%B0%C5%9E%C4%B0%20%2A%20%C3%BCr%C3%BCn%C3%BC%20hakk%C4%B1nda%20bilgi%20almak%20istiyorum.</v>
      </c>
    </row>
    <row r="642" spans="1:7" x14ac:dyDescent="0.25">
      <c r="A642" t="s">
        <v>440</v>
      </c>
      <c r="B642" s="1">
        <v>70</v>
      </c>
      <c r="C642" t="s">
        <v>0</v>
      </c>
      <c r="D642" t="s">
        <v>869</v>
      </c>
      <c r="E642" t="s">
        <v>1400</v>
      </c>
      <c r="F642" t="s">
        <v>2500</v>
      </c>
      <c r="G642" t="str">
        <f t="shared" si="10"/>
        <v>https://wa.me/905425127759?text=%2AFIRIN%20HORTUM%20G%C4%B0R%C4%B0%C5%9E%C4%B0%20GEN%C4%B0%C5%9E%20OLAN%2A%20%C3%BCr%C3%BCn%C3%BC%20hakk%C4%B1nda%20bilgi%20almak%20istiyorum.</v>
      </c>
    </row>
    <row r="643" spans="1:7" x14ac:dyDescent="0.25">
      <c r="A643" t="s">
        <v>441</v>
      </c>
      <c r="B643" s="1">
        <v>70</v>
      </c>
      <c r="C643" t="s">
        <v>0</v>
      </c>
      <c r="D643" t="s">
        <v>869</v>
      </c>
      <c r="E643" t="s">
        <v>1400</v>
      </c>
      <c r="F643" t="s">
        <v>2501</v>
      </c>
      <c r="G643" t="str">
        <f t="shared" si="10"/>
        <v>https://wa.me/905425127759?text=%2AFIRIN%20K%C3%96RTAPA%20GEN%C4%B0%C5%9E%2A%20%C3%BCr%C3%BCn%C3%BC%20hakk%C4%B1nda%20bilgi%20almak%20istiyorum.</v>
      </c>
    </row>
    <row r="644" spans="1:7" x14ac:dyDescent="0.25">
      <c r="A644" t="s">
        <v>445</v>
      </c>
      <c r="B644" s="1">
        <v>90</v>
      </c>
      <c r="C644" t="s">
        <v>0</v>
      </c>
      <c r="D644" t="s">
        <v>869</v>
      </c>
      <c r="E644" t="s">
        <v>1400</v>
      </c>
      <c r="F644" t="s">
        <v>1284</v>
      </c>
      <c r="G644" t="str">
        <f t="shared" si="10"/>
        <v>https://wa.me/905425127759?text=%2AHUN%C4%B0%20SU%20%C4%B0%C3%87%C4%B0N%2A%20%C3%BCr%C3%BCn%C3%BC%20hakk%C4%B1nda%20bilgi%20almak%20istiyorum.</v>
      </c>
    </row>
    <row r="645" spans="1:7" x14ac:dyDescent="0.25">
      <c r="A645" t="s">
        <v>446</v>
      </c>
      <c r="B645" s="1">
        <v>0</v>
      </c>
      <c r="C645" t="s">
        <v>0</v>
      </c>
      <c r="D645" t="s">
        <v>869</v>
      </c>
      <c r="E645" t="s">
        <v>1400</v>
      </c>
      <c r="F645" t="s">
        <v>2402</v>
      </c>
      <c r="G645" t="str">
        <f t="shared" si="10"/>
        <v>https://wa.me/905425127759?text=%2AISI-MEKA%20KAMP%20OCAK%20AYGAZ%2A%20%C3%BCr%C3%BCn%C3%BC%20hakk%C4%B1nda%20bilgi%20almak%20istiyorum.</v>
      </c>
    </row>
    <row r="646" spans="1:7" x14ac:dyDescent="0.25">
      <c r="A646" t="s">
        <v>447</v>
      </c>
      <c r="B646" s="1">
        <v>0</v>
      </c>
      <c r="C646" t="s">
        <v>0</v>
      </c>
      <c r="D646" t="s">
        <v>869</v>
      </c>
      <c r="E646" t="s">
        <v>1400</v>
      </c>
      <c r="F646" t="s">
        <v>2502</v>
      </c>
      <c r="G646" t="str">
        <f t="shared" si="10"/>
        <v>https://wa.me/905425127759?text=%2AISI-MEKA%20KAMP%20OCAK%20%C4%B0PRA%2A%20%C3%BCr%C3%BCn%C3%BC%20hakk%C4%B1nda%20bilgi%20almak%20istiyorum.</v>
      </c>
    </row>
    <row r="647" spans="1:7" x14ac:dyDescent="0.25">
      <c r="A647" t="s">
        <v>449</v>
      </c>
      <c r="B647" s="1">
        <v>200</v>
      </c>
      <c r="C647" t="s">
        <v>0</v>
      </c>
      <c r="D647" t="s">
        <v>869</v>
      </c>
      <c r="E647" t="s">
        <v>1400</v>
      </c>
      <c r="F647" t="s">
        <v>2503</v>
      </c>
      <c r="G647" t="str">
        <f t="shared" si="10"/>
        <v>https://wa.me/905425127759?text=%2A%C4%B0PRA%20HORTUM%20G%C4%B0R%C4%B0%C5%9EL%C4%B0%20MUSLUK%2A%20%C3%BCr%C3%BCn%C3%BC%20hakk%C4%B1nda%20bilgi%20almak%20istiyorum.</v>
      </c>
    </row>
    <row r="648" spans="1:7" x14ac:dyDescent="0.25">
      <c r="A648" t="s">
        <v>450</v>
      </c>
      <c r="B648" s="1">
        <v>190</v>
      </c>
      <c r="C648" t="s">
        <v>0</v>
      </c>
      <c r="D648" t="s">
        <v>869</v>
      </c>
      <c r="E648" t="s">
        <v>1400</v>
      </c>
      <c r="F648" t="s">
        <v>1285</v>
      </c>
      <c r="G648" t="str">
        <f t="shared" si="10"/>
        <v>https://wa.me/905425127759?text=%2A%C4%B0PRA%20MUSLUK%2A%20%C3%BCr%C3%BCn%C3%BC%20hakk%C4%B1nda%20bilgi%20almak%20istiyorum.</v>
      </c>
    </row>
    <row r="649" spans="1:7" x14ac:dyDescent="0.25">
      <c r="A649" t="s">
        <v>451</v>
      </c>
      <c r="B649" s="1">
        <v>0</v>
      </c>
      <c r="C649" t="s">
        <v>0</v>
      </c>
      <c r="D649" t="s">
        <v>869</v>
      </c>
      <c r="E649" t="s">
        <v>1400</v>
      </c>
      <c r="F649" t="s">
        <v>1286</v>
      </c>
      <c r="G649" t="str">
        <f t="shared" si="10"/>
        <v>https://wa.me/905425127759?text=%2AKAHVEC%C4%B0%20KAZAN%20MUSLU%C4%9EU%20SU%20%C4%B0%C3%87%C4%B0N%2A%20%C3%BCr%C3%BCn%C3%BC%20hakk%C4%B1nda%20bilgi%20almak%20istiyorum.</v>
      </c>
    </row>
    <row r="650" spans="1:7" x14ac:dyDescent="0.25">
      <c r="A650" t="s">
        <v>452</v>
      </c>
      <c r="B650" s="1">
        <v>200</v>
      </c>
      <c r="C650" t="s">
        <v>0</v>
      </c>
      <c r="D650" t="s">
        <v>869</v>
      </c>
      <c r="E650" t="s">
        <v>1400</v>
      </c>
      <c r="F650" t="s">
        <v>1287</v>
      </c>
      <c r="G650" t="str">
        <f t="shared" si="10"/>
        <v>https://wa.me/905425127759?text=%2AKAHVEC%C4%B0%20OCAK%20MUSLU%C4%9EU%20GAZ%20%C4%B0%C3%87%C4%B0N%2A%20%C3%BCr%C3%BCn%C3%BC%20hakk%C4%B1nda%20bilgi%20almak%20istiyorum.</v>
      </c>
    </row>
    <row r="651" spans="1:7" x14ac:dyDescent="0.25">
      <c r="A651" t="s">
        <v>453</v>
      </c>
      <c r="B651" s="1">
        <v>200</v>
      </c>
      <c r="C651" t="s">
        <v>0</v>
      </c>
      <c r="D651" t="s">
        <v>869</v>
      </c>
      <c r="E651" t="s">
        <v>1400</v>
      </c>
      <c r="F651" t="s">
        <v>2504</v>
      </c>
      <c r="G651" t="str">
        <f t="shared" si="10"/>
        <v>https://wa.me/905425127759?text=%2AKAHVEC%C4%B0%20OCAK%20MUSLU%C4%9EU%20%C4%B0NCE%20D%C4%B0%C5%9E%2A%20%C3%BCr%C3%BCn%C3%BC%20hakk%C4%B1nda%20bilgi%20almak%20istiyorum.</v>
      </c>
    </row>
    <row r="652" spans="1:7" x14ac:dyDescent="0.25">
      <c r="A652" t="s">
        <v>454</v>
      </c>
      <c r="B652" s="1">
        <v>200</v>
      </c>
      <c r="C652" t="s">
        <v>0</v>
      </c>
      <c r="D652" t="s">
        <v>869</v>
      </c>
      <c r="E652" t="s">
        <v>1400</v>
      </c>
      <c r="F652" t="s">
        <v>2505</v>
      </c>
      <c r="G652" t="str">
        <f t="shared" si="10"/>
        <v>https://wa.me/905425127759?text=%2AKAHVEC%C4%B0%20OCAK%20MUSLU%C4%9EU%20KALIN%20D%C4%B0%C5%9E%2A%20%C3%BCr%C3%BCn%C3%BC%20hakk%C4%B1nda%20bilgi%20almak%20istiyorum.</v>
      </c>
    </row>
    <row r="653" spans="1:7" x14ac:dyDescent="0.25">
      <c r="A653" t="s">
        <v>455</v>
      </c>
      <c r="B653" s="1">
        <v>200</v>
      </c>
      <c r="C653" t="s">
        <v>0</v>
      </c>
      <c r="D653" t="s">
        <v>869</v>
      </c>
      <c r="E653" t="s">
        <v>1400</v>
      </c>
      <c r="F653" t="s">
        <v>1288</v>
      </c>
      <c r="G653" t="str">
        <f t="shared" si="10"/>
        <v>https://wa.me/905425127759?text=%2AKAMP%20OCAK%20MUSLU%C4%9EU%20AYGAZ%20%2A%20%C3%BCr%C3%BCn%C3%BC%20hakk%C4%B1nda%20bilgi%20almak%20istiyorum.</v>
      </c>
    </row>
    <row r="654" spans="1:7" x14ac:dyDescent="0.25">
      <c r="A654" t="s">
        <v>456</v>
      </c>
      <c r="B654" s="1">
        <v>200</v>
      </c>
      <c r="C654" t="s">
        <v>0</v>
      </c>
      <c r="D654" t="s">
        <v>869</v>
      </c>
      <c r="E654" t="s">
        <v>1400</v>
      </c>
      <c r="F654" t="s">
        <v>1289</v>
      </c>
      <c r="G654" t="str">
        <f t="shared" si="10"/>
        <v>https://wa.me/905425127759?text=%2AKAMP%20OCAK%20MUSLU%C4%9EU%20%C4%B0PRA%2A%20%C3%BCr%C3%BCn%C3%BC%20hakk%C4%B1nda%20bilgi%20almak%20istiyorum.</v>
      </c>
    </row>
    <row r="655" spans="1:7" x14ac:dyDescent="0.25">
      <c r="A655" t="s">
        <v>457</v>
      </c>
      <c r="B655" s="1">
        <v>200</v>
      </c>
      <c r="C655" t="s">
        <v>0</v>
      </c>
      <c r="D655" t="s">
        <v>869</v>
      </c>
      <c r="E655" t="s">
        <v>1400</v>
      </c>
      <c r="F655" t="s">
        <v>1290</v>
      </c>
      <c r="G655" t="str">
        <f t="shared" si="10"/>
        <v>https://wa.me/905425127759?text=%2AKAMP%20SOBA%20MUSLU%C4%9EU%20AYGAZ%2A%20%C3%BCr%C3%BCn%C3%BC%20hakk%C4%B1nda%20bilgi%20almak%20istiyorum.</v>
      </c>
    </row>
    <row r="656" spans="1:7" x14ac:dyDescent="0.25">
      <c r="A656" t="s">
        <v>458</v>
      </c>
      <c r="B656" s="1">
        <v>200</v>
      </c>
      <c r="C656" t="s">
        <v>0</v>
      </c>
      <c r="D656" t="s">
        <v>869</v>
      </c>
      <c r="E656" t="s">
        <v>1400</v>
      </c>
      <c r="F656" t="s">
        <v>1291</v>
      </c>
      <c r="G656" t="str">
        <f t="shared" si="10"/>
        <v>https://wa.me/905425127759?text=%2AKAMP%20SOBA%20MUSLU%C4%9EU%20%C4%B0PRA%2A%20%C3%BCr%C3%BCn%C3%BC%20hakk%C4%B1nda%20bilgi%20almak%20istiyorum.</v>
      </c>
    </row>
    <row r="657" spans="1:7" x14ac:dyDescent="0.25">
      <c r="A657" t="s">
        <v>469</v>
      </c>
      <c r="B657" s="1">
        <v>1800</v>
      </c>
      <c r="C657" t="s">
        <v>0</v>
      </c>
      <c r="D657" t="s">
        <v>869</v>
      </c>
      <c r="E657" t="s">
        <v>1400</v>
      </c>
      <c r="F657" t="s">
        <v>1292</v>
      </c>
      <c r="G657" t="str">
        <f t="shared" si="10"/>
        <v>https://wa.me/905425127759?text=%2AKARE%20VOLKAN%20M%C4%B0N%C4%B0%2A%20%C3%BCr%C3%BCn%C3%BC%20hakk%C4%B1nda%20bilgi%20almak%20istiyorum.</v>
      </c>
    </row>
    <row r="658" spans="1:7" x14ac:dyDescent="0.25">
      <c r="A658" t="s">
        <v>470</v>
      </c>
      <c r="B658" s="1">
        <v>2100</v>
      </c>
      <c r="C658" t="s">
        <v>0</v>
      </c>
      <c r="D658" t="s">
        <v>869</v>
      </c>
      <c r="E658" t="s">
        <v>1400</v>
      </c>
      <c r="F658" t="s">
        <v>1293</v>
      </c>
      <c r="G658" t="str">
        <f t="shared" si="10"/>
        <v>https://wa.me/905425127759?text=%2AKARE%20VOLKAN%20P%C4%B0K%2035%2A35%2A%20%C3%BCr%C3%BCn%C3%BC%20hakk%C4%B1nda%20bilgi%20almak%20istiyorum.</v>
      </c>
    </row>
    <row r="659" spans="1:7" x14ac:dyDescent="0.25">
      <c r="A659" t="s">
        <v>471</v>
      </c>
      <c r="B659" s="1">
        <v>2500</v>
      </c>
      <c r="C659" t="s">
        <v>0</v>
      </c>
      <c r="D659" t="s">
        <v>869</v>
      </c>
      <c r="E659" t="s">
        <v>1400</v>
      </c>
      <c r="F659" t="s">
        <v>1294</v>
      </c>
      <c r="G659" t="str">
        <f t="shared" si="10"/>
        <v>https://wa.me/905425127759?text=%2AKARE%20VOLKAN%20P%C4%B0K%2040%2A40%2A%20%C3%BCr%C3%BCn%C3%BC%20hakk%C4%B1nda%20bilgi%20almak%20istiyorum.</v>
      </c>
    </row>
    <row r="660" spans="1:7" x14ac:dyDescent="0.25">
      <c r="A660" t="s">
        <v>472</v>
      </c>
      <c r="B660" s="1">
        <v>200</v>
      </c>
      <c r="C660" t="s">
        <v>0</v>
      </c>
      <c r="D660" t="s">
        <v>869</v>
      </c>
      <c r="E660" t="s">
        <v>1400</v>
      </c>
      <c r="F660" t="s">
        <v>1295</v>
      </c>
      <c r="G660" t="str">
        <f t="shared" si="10"/>
        <v>https://wa.me/905425127759?text=%2AKATMER%20SAC%20MUSLU%C4%9EU%2A%20%C3%BCr%C3%BCn%C3%BC%20hakk%C4%B1nda%20bilgi%20almak%20istiyorum.</v>
      </c>
    </row>
    <row r="661" spans="1:7" x14ac:dyDescent="0.25">
      <c r="A661" t="s">
        <v>473</v>
      </c>
      <c r="B661" s="1">
        <v>200</v>
      </c>
      <c r="C661" t="s">
        <v>0</v>
      </c>
      <c r="D661" t="s">
        <v>869</v>
      </c>
      <c r="E661" t="s">
        <v>1400</v>
      </c>
      <c r="F661" t="s">
        <v>1296</v>
      </c>
      <c r="G661" t="str">
        <f t="shared" si="10"/>
        <v>https://wa.me/905425127759?text=%2AKAVURMA%20SAC%20MUSLU%C4%9EU%20AYGAZ%2A%20%C3%BCr%C3%BCn%C3%BC%20hakk%C4%B1nda%20bilgi%20almak%20istiyorum.</v>
      </c>
    </row>
    <row r="662" spans="1:7" x14ac:dyDescent="0.25">
      <c r="A662" t="s">
        <v>474</v>
      </c>
      <c r="B662" s="1">
        <v>200</v>
      </c>
      <c r="C662" t="s">
        <v>0</v>
      </c>
      <c r="D662" t="s">
        <v>869</v>
      </c>
      <c r="E662" t="s">
        <v>1400</v>
      </c>
      <c r="F662" t="s">
        <v>1297</v>
      </c>
      <c r="G662" t="str">
        <f t="shared" si="10"/>
        <v>https://wa.me/905425127759?text=%2AKAVURMA%20SAC%20MUSLU%C4%9EU%20%C4%B0PRA%2A%20%C3%BCr%C3%BCn%C3%BC%20hakk%C4%B1nda%20bilgi%20almak%20istiyorum.</v>
      </c>
    </row>
    <row r="663" spans="1:7" x14ac:dyDescent="0.25">
      <c r="A663" t="s">
        <v>608</v>
      </c>
      <c r="B663" s="1">
        <v>400</v>
      </c>
      <c r="C663" t="s">
        <v>0</v>
      </c>
      <c r="D663" t="s">
        <v>869</v>
      </c>
      <c r="E663" t="s">
        <v>1400</v>
      </c>
      <c r="F663" t="s">
        <v>1383</v>
      </c>
      <c r="G663" t="str">
        <f t="shared" si="10"/>
        <v>https://wa.me/905425127759?text=%2AKAYSER%C4%B0%20AL%C4%B0M%C4%B0NYUM%20HAVUZ%2BS%C4%B0YAH%20SAC%20KAPAK%2A%20%C3%BCr%C3%BCn%C3%BC%20hakk%C4%B1nda%20bilgi%20almak%20istiyorum.</v>
      </c>
    </row>
    <row r="664" spans="1:7" x14ac:dyDescent="0.25">
      <c r="A664" t="s">
        <v>800</v>
      </c>
      <c r="B664" s="1">
        <v>250</v>
      </c>
      <c r="C664" t="s">
        <v>0</v>
      </c>
      <c r="D664" t="s">
        <v>869</v>
      </c>
      <c r="E664" t="s">
        <v>1400</v>
      </c>
      <c r="F664" t="s">
        <v>1389</v>
      </c>
      <c r="G664" t="str">
        <f t="shared" si="10"/>
        <v>https://wa.me/905425127759?text=%2AKAYSER%C4%B0%20AL%C3%9CM%C4%B0NYUM%20HAVUZ%2A%20%C3%BCr%C3%BCn%C3%BC%20hakk%C4%B1nda%20bilgi%20almak%20istiyorum.</v>
      </c>
    </row>
    <row r="665" spans="1:7" x14ac:dyDescent="0.25">
      <c r="A665" t="s">
        <v>611</v>
      </c>
      <c r="B665" s="1">
        <v>200</v>
      </c>
      <c r="C665" t="s">
        <v>0</v>
      </c>
      <c r="D665" t="s">
        <v>869</v>
      </c>
      <c r="E665" t="s">
        <v>1400</v>
      </c>
      <c r="F665" t="s">
        <v>1384</v>
      </c>
      <c r="G665" t="str">
        <f t="shared" si="10"/>
        <v>https://wa.me/905425127759?text=%2AKAYSER%C4%B0%20SAC%20KAPAK%20%2A%20%C3%BCr%C3%BCn%C3%BC%20hakk%C4%B1nda%20bilgi%20almak%20istiyorum.</v>
      </c>
    </row>
    <row r="666" spans="1:7" x14ac:dyDescent="0.25">
      <c r="A666" t="s">
        <v>1462</v>
      </c>
      <c r="B666" s="1">
        <v>13</v>
      </c>
      <c r="C666" t="s">
        <v>0</v>
      </c>
      <c r="D666" t="s">
        <v>869</v>
      </c>
      <c r="E666" t="s">
        <v>1400</v>
      </c>
      <c r="F666" t="s">
        <v>2618</v>
      </c>
      <c r="G666" t="str">
        <f t="shared" si="10"/>
        <v>https://wa.me/905425127759?text=%2AKELEP%C3%87E%2A%20%C3%BCr%C3%BCn%C3%BC%20hakk%C4%B1nda%20bilgi%20almak%20istiyorum.</v>
      </c>
    </row>
    <row r="667" spans="1:7" x14ac:dyDescent="0.25">
      <c r="A667" t="s">
        <v>476</v>
      </c>
      <c r="B667" s="1">
        <v>130</v>
      </c>
      <c r="C667" t="s">
        <v>0</v>
      </c>
      <c r="D667" t="s">
        <v>869</v>
      </c>
      <c r="E667" t="s">
        <v>1400</v>
      </c>
      <c r="F667" t="s">
        <v>1298</v>
      </c>
      <c r="G667" t="str">
        <f t="shared" si="10"/>
        <v>https://wa.me/905425127759?text=%2AKELEP%C3%87EL%C4%B0%20IZGARA%2A%20%C3%BCr%C3%BCn%C3%BC%20hakk%C4%B1nda%20bilgi%20almak%20istiyorum.</v>
      </c>
    </row>
    <row r="668" spans="1:7" x14ac:dyDescent="0.25">
      <c r="A668" t="s">
        <v>477</v>
      </c>
      <c r="B668" s="1">
        <v>1500</v>
      </c>
      <c r="C668" t="s">
        <v>0</v>
      </c>
      <c r="D668" t="s">
        <v>869</v>
      </c>
      <c r="E668" t="s">
        <v>1400</v>
      </c>
      <c r="F668" t="s">
        <v>1299</v>
      </c>
      <c r="G668" t="str">
        <f t="shared" si="10"/>
        <v>https://wa.me/905425127759?text=%2AK%C3%9CNEFE%20OCA%C4%9EI%20SEYYAR%2A%20%C3%BCr%C3%BCn%C3%BC%20hakk%C4%B1nda%20bilgi%20almak%20istiyorum.</v>
      </c>
    </row>
    <row r="669" spans="1:7" x14ac:dyDescent="0.25">
      <c r="A669" t="s">
        <v>478</v>
      </c>
      <c r="B669" s="1">
        <v>200</v>
      </c>
      <c r="C669" t="s">
        <v>0</v>
      </c>
      <c r="D669" t="s">
        <v>869</v>
      </c>
      <c r="E669" t="s">
        <v>1400</v>
      </c>
      <c r="F669" t="s">
        <v>1300</v>
      </c>
      <c r="G669" t="str">
        <f t="shared" si="10"/>
        <v>https://wa.me/905425127759?text=%2AK%C3%9CNEFE%20OCAK%20MUSLU%C4%9EU%2A%20%C3%BCr%C3%BCn%C3%BC%20hakk%C4%B1nda%20bilgi%20almak%20istiyorum.</v>
      </c>
    </row>
    <row r="670" spans="1:7" x14ac:dyDescent="0.25">
      <c r="A670" t="s">
        <v>593</v>
      </c>
      <c r="B670" s="1">
        <v>200</v>
      </c>
      <c r="C670" t="s">
        <v>0</v>
      </c>
      <c r="D670" t="s">
        <v>869</v>
      </c>
      <c r="E670" t="s">
        <v>1400</v>
      </c>
      <c r="F670" t="s">
        <v>2403</v>
      </c>
      <c r="G670" t="str">
        <f t="shared" si="10"/>
        <v>https://wa.me/905425127759?text=%2ALAV%20TA%C5%9EI%202%20KG%2A%20%C3%BCr%C3%BCn%C3%BC%20hakk%C4%B1nda%20bilgi%20almak%20istiyorum.</v>
      </c>
    </row>
    <row r="671" spans="1:7" x14ac:dyDescent="0.25">
      <c r="A671" t="s">
        <v>479</v>
      </c>
      <c r="B671" s="1">
        <v>1100</v>
      </c>
      <c r="C671" t="s">
        <v>0</v>
      </c>
      <c r="D671" t="s">
        <v>869</v>
      </c>
      <c r="E671" t="s">
        <v>1400</v>
      </c>
      <c r="F671" t="s">
        <v>1301</v>
      </c>
      <c r="G671" t="str">
        <f t="shared" si="10"/>
        <v>https://wa.me/905425127759?text=%2AL%C4%B0M%C4%B0TED%20DEB%C4%B0L%C4%B0%20SANAY%C4%B0%20DEDANT%C3%96R%2A%20%C3%BCr%C3%BCn%C3%BC%20hakk%C4%B1nda%20bilgi%20almak%20istiyorum.</v>
      </c>
    </row>
    <row r="672" spans="1:7" x14ac:dyDescent="0.25">
      <c r="A672" t="s">
        <v>480</v>
      </c>
      <c r="B672" s="1">
        <v>600</v>
      </c>
      <c r="C672" t="s">
        <v>0</v>
      </c>
      <c r="D672" t="s">
        <v>869</v>
      </c>
      <c r="E672" t="s">
        <v>1400</v>
      </c>
      <c r="F672" t="s">
        <v>1302</v>
      </c>
      <c r="G672" t="str">
        <f t="shared" si="10"/>
        <v>https://wa.me/905425127759?text=%2AL%C4%B0M%C4%B0TED%20K%C4%B0L%C4%B0TL%C4%B0%20METAL%20DEDANT%C3%96R%2010%20MM%2A%20%C3%BCr%C3%BCn%C3%BC%20hakk%C4%B1nda%20bilgi%20almak%20istiyorum.</v>
      </c>
    </row>
    <row r="673" spans="1:7" x14ac:dyDescent="0.25">
      <c r="A673" t="s">
        <v>481</v>
      </c>
      <c r="B673" s="1">
        <v>600</v>
      </c>
      <c r="C673" t="s">
        <v>0</v>
      </c>
      <c r="D673" t="s">
        <v>869</v>
      </c>
      <c r="E673" t="s">
        <v>1400</v>
      </c>
      <c r="F673" t="s">
        <v>1303</v>
      </c>
      <c r="G673" t="str">
        <f t="shared" si="10"/>
        <v>https://wa.me/905425127759?text=%2AL%C4%B0M%C4%B0TED%20K%C4%B0L%C4%B0TL%C4%B0%20METAL%20DEDANT%C3%96R%208MM%2A%20%C3%BCr%C3%BCn%C3%BC%20hakk%C4%B1nda%20bilgi%20almak%20istiyorum.</v>
      </c>
    </row>
    <row r="674" spans="1:7" x14ac:dyDescent="0.25">
      <c r="A674" t="s">
        <v>482</v>
      </c>
      <c r="B674" s="1">
        <v>600</v>
      </c>
      <c r="C674" t="s">
        <v>0</v>
      </c>
      <c r="D674" t="s">
        <v>869</v>
      </c>
      <c r="E674" t="s">
        <v>1400</v>
      </c>
      <c r="F674" t="s">
        <v>1304</v>
      </c>
      <c r="G674" t="str">
        <f t="shared" si="10"/>
        <v>https://wa.me/905425127759?text=%2AL%C4%B0M%C4%B0TED%20METAL%20DEDANT%C3%96R%2A%20%C3%BCr%C3%BCn%C3%BC%20hakk%C4%B1nda%20bilgi%20almak%20istiyorum.</v>
      </c>
    </row>
    <row r="675" spans="1:7" x14ac:dyDescent="0.25">
      <c r="A675" t="s">
        <v>483</v>
      </c>
      <c r="B675" s="1">
        <v>600</v>
      </c>
      <c r="C675" t="s">
        <v>0</v>
      </c>
      <c r="D675" t="s">
        <v>869</v>
      </c>
      <c r="E675" t="s">
        <v>1400</v>
      </c>
      <c r="F675" t="s">
        <v>1305</v>
      </c>
      <c r="G675" t="str">
        <f t="shared" si="10"/>
        <v>https://wa.me/905425127759?text=%2AL%C4%B0M%C4%B0TED%20NOVA%20K%C4%B0L%C4%B0TL%C4%B0%20DEDANT%C3%96R%20%2A%20%C3%BCr%C3%BCn%C3%BC%20hakk%C4%B1nda%20bilgi%20almak%20istiyorum.</v>
      </c>
    </row>
    <row r="676" spans="1:7" x14ac:dyDescent="0.25">
      <c r="A676" t="s">
        <v>484</v>
      </c>
      <c r="B676" s="1">
        <v>600</v>
      </c>
      <c r="C676" t="s">
        <v>0</v>
      </c>
      <c r="D676" t="s">
        <v>869</v>
      </c>
      <c r="E676" t="s">
        <v>1400</v>
      </c>
      <c r="F676" t="s">
        <v>1306</v>
      </c>
      <c r="G676" t="str">
        <f t="shared" si="10"/>
        <v>https://wa.me/905425127759?text=%2AL%C4%B0M%C4%B0TED%20UFAK%20SANAY%C4%B0%20DEDANT%C3%96R%2A%20%C3%BCr%C3%BCn%C3%BC%20hakk%C4%B1nda%20bilgi%20almak%20istiyorum.</v>
      </c>
    </row>
    <row r="677" spans="1:7" x14ac:dyDescent="0.25">
      <c r="A677" t="s">
        <v>124</v>
      </c>
      <c r="B677" s="1">
        <v>0</v>
      </c>
      <c r="C677" t="s">
        <v>0</v>
      </c>
      <c r="D677" t="s">
        <v>869</v>
      </c>
      <c r="E677" t="s">
        <v>1400</v>
      </c>
      <c r="F677" t="s">
        <v>1256</v>
      </c>
      <c r="G677" t="str">
        <f t="shared" si="10"/>
        <v>https://wa.me/905425127759?text=%2AL%C4%B0M%C4%B0TED%20VANALI%20DEDANT%C3%96R%20%2A%20%C3%BCr%C3%BCn%C3%BC%20hakk%C4%B1nda%20bilgi%20almak%20istiyorum.</v>
      </c>
    </row>
    <row r="678" spans="1:7" x14ac:dyDescent="0.25">
      <c r="A678" t="s">
        <v>490</v>
      </c>
      <c r="B678" s="1">
        <v>300</v>
      </c>
      <c r="C678" t="s">
        <v>0</v>
      </c>
      <c r="D678" t="s">
        <v>869</v>
      </c>
      <c r="E678" t="s">
        <v>1400</v>
      </c>
      <c r="F678" t="s">
        <v>1307</v>
      </c>
      <c r="G678" t="str">
        <f t="shared" si="10"/>
        <v>https://wa.me/905425127759?text=%2AL%C3%9CKS%20CAMI%2A%20%C3%BCr%C3%BCn%C3%BC%20hakk%C4%B1nda%20bilgi%20almak%20istiyorum.</v>
      </c>
    </row>
    <row r="679" spans="1:7" x14ac:dyDescent="0.25">
      <c r="A679" t="s">
        <v>491</v>
      </c>
      <c r="B679" s="1">
        <v>50</v>
      </c>
      <c r="C679" t="s">
        <v>0</v>
      </c>
      <c r="D679" t="s">
        <v>869</v>
      </c>
      <c r="E679" t="s">
        <v>1400</v>
      </c>
      <c r="F679" t="s">
        <v>1308</v>
      </c>
      <c r="G679" t="str">
        <f t="shared" si="10"/>
        <v>https://wa.me/905425127759?text=%2AL%C3%9CKS%20G%C3%96MLE%C4%9E%C4%B0%20%C3%87ENGELL%C4%B0%20NURGAZ%2A%20%C3%BCr%C3%BCn%C3%BC%20hakk%C4%B1nda%20bilgi%20almak%20istiyorum.</v>
      </c>
    </row>
    <row r="680" spans="1:7" x14ac:dyDescent="0.25">
      <c r="A680" t="s">
        <v>492</v>
      </c>
      <c r="B680" s="1">
        <v>35</v>
      </c>
      <c r="C680" t="s">
        <v>0</v>
      </c>
      <c r="D680" t="s">
        <v>869</v>
      </c>
      <c r="E680" t="s">
        <v>1400</v>
      </c>
      <c r="F680" t="s">
        <v>1309</v>
      </c>
      <c r="G680" t="str">
        <f t="shared" si="10"/>
        <v>https://wa.me/905425127759?text=%2AL%C3%9CKS%20G%C3%96MLE%C4%9E%C4%B0%20%C3%87ENGELL%C4%B0%20ORGAZ%2A%20%C3%BCr%C3%BCn%C3%BC%20hakk%C4%B1nda%20bilgi%20almak%20istiyorum.</v>
      </c>
    </row>
    <row r="681" spans="1:7" x14ac:dyDescent="0.25">
      <c r="A681" t="s">
        <v>493</v>
      </c>
      <c r="B681" s="1">
        <v>20</v>
      </c>
      <c r="C681" t="s">
        <v>0</v>
      </c>
      <c r="D681" t="s">
        <v>869</v>
      </c>
      <c r="E681" t="s">
        <v>1400</v>
      </c>
      <c r="F681" t="s">
        <v>1310</v>
      </c>
      <c r="G681" t="str">
        <f t="shared" si="10"/>
        <v>https://wa.me/905425127759?text=%2AL%C3%9CKS%20G%C3%96MLE%C4%9E%C4%B0%20%C4%B0PL%C4%B0%2A%20%C3%BCr%C3%BCn%C3%BC%20hakk%C4%B1nda%20bilgi%20almak%20istiyorum.</v>
      </c>
    </row>
    <row r="682" spans="1:7" x14ac:dyDescent="0.25">
      <c r="A682" t="s">
        <v>679</v>
      </c>
      <c r="B682" s="1">
        <v>50</v>
      </c>
      <c r="C682" t="s">
        <v>0</v>
      </c>
      <c r="D682" t="s">
        <v>869</v>
      </c>
      <c r="E682" t="s">
        <v>1400</v>
      </c>
      <c r="F682" t="s">
        <v>2506</v>
      </c>
      <c r="G682" t="str">
        <f t="shared" si="10"/>
        <v>https://wa.me/905425127759?text=%2AL%C3%9CKS%20G%C3%96MLE%C4%9E%C4%B0%20KARTU%C5%9ELU%20%C4%B0%C3%87%C4%B0N%20NURGAZ%2A%20%C3%BCr%C3%BCn%C3%BC%20hakk%C4%B1nda%20bilgi%20almak%20istiyorum.</v>
      </c>
    </row>
    <row r="683" spans="1:7" x14ac:dyDescent="0.25">
      <c r="A683" t="s">
        <v>494</v>
      </c>
      <c r="B683" s="1">
        <v>370</v>
      </c>
      <c r="C683" t="s">
        <v>0</v>
      </c>
      <c r="D683" t="s">
        <v>869</v>
      </c>
      <c r="E683" t="s">
        <v>1400</v>
      </c>
      <c r="F683" t="s">
        <v>1311</v>
      </c>
      <c r="G683" t="str">
        <f t="shared" si="10"/>
        <v>https://wa.me/905425127759?text=%2AMEDD%20KAMP%20OCAK%20AYGAZ%2A%20%C3%BCr%C3%BCn%C3%BC%20hakk%C4%B1nda%20bilgi%20almak%20istiyorum.</v>
      </c>
    </row>
    <row r="684" spans="1:7" x14ac:dyDescent="0.25">
      <c r="A684" t="s">
        <v>127</v>
      </c>
      <c r="B684" s="1">
        <v>390</v>
      </c>
      <c r="C684" t="s">
        <v>0</v>
      </c>
      <c r="D684" t="s">
        <v>869</v>
      </c>
      <c r="E684" t="s">
        <v>1400</v>
      </c>
      <c r="F684" t="s">
        <v>1257</v>
      </c>
      <c r="G684" t="str">
        <f t="shared" si="10"/>
        <v>https://wa.me/905425127759?text=%2AMEDD%20KAMP%20OCAK%20%C4%B0PRA%2A%20%C3%BCr%C3%BCn%C3%BC%20hakk%C4%B1nda%20bilgi%20almak%20istiyorum.</v>
      </c>
    </row>
    <row r="685" spans="1:7" x14ac:dyDescent="0.25">
      <c r="A685" t="s">
        <v>495</v>
      </c>
      <c r="B685" s="1">
        <v>400</v>
      </c>
      <c r="C685" t="s">
        <v>0</v>
      </c>
      <c r="D685" t="s">
        <v>869</v>
      </c>
      <c r="E685" t="s">
        <v>1400</v>
      </c>
      <c r="F685" t="s">
        <v>1312</v>
      </c>
      <c r="G685" t="str">
        <f t="shared" si="10"/>
        <v>https://wa.me/905425127759?text=%2AMEDD%20S%C4%B0BOBLU%20KAMP%20OCAK%20%2A%20%C3%BCr%C3%BCn%C3%BC%20hakk%C4%B1nda%20bilgi%20almak%20istiyorum.</v>
      </c>
    </row>
    <row r="686" spans="1:7" x14ac:dyDescent="0.25">
      <c r="A686" t="s">
        <v>496</v>
      </c>
      <c r="B686" s="1">
        <v>370</v>
      </c>
      <c r="C686" t="s">
        <v>0</v>
      </c>
      <c r="D686" t="s">
        <v>869</v>
      </c>
      <c r="E686" t="s">
        <v>1400</v>
      </c>
      <c r="F686" t="s">
        <v>1313</v>
      </c>
      <c r="G686" t="str">
        <f t="shared" si="10"/>
        <v>https://wa.me/905425127759?text=%2AMEDD%20TURBO%20KAMP%20OCAK%20AYGAZ%2A%20%C3%BCr%C3%BCn%C3%BC%20hakk%C4%B1nda%20bilgi%20almak%20istiyorum.</v>
      </c>
    </row>
    <row r="687" spans="1:7" x14ac:dyDescent="0.25">
      <c r="A687" t="s">
        <v>497</v>
      </c>
      <c r="B687" s="1">
        <v>390</v>
      </c>
      <c r="C687" t="s">
        <v>0</v>
      </c>
      <c r="D687" t="s">
        <v>869</v>
      </c>
      <c r="E687" t="s">
        <v>1400</v>
      </c>
      <c r="F687" t="s">
        <v>1314</v>
      </c>
      <c r="G687" t="str">
        <f t="shared" si="10"/>
        <v>https://wa.me/905425127759?text=%2AMEDD%20TURBO%20KAMP%20OCAK%20%C4%B0PRA%20%2A%20%C3%BCr%C3%BCn%C3%BC%20hakk%C4%B1nda%20bilgi%20almak%20istiyorum.</v>
      </c>
    </row>
    <row r="688" spans="1:7" x14ac:dyDescent="0.25">
      <c r="A688" t="s">
        <v>498</v>
      </c>
      <c r="B688" s="1">
        <v>130</v>
      </c>
      <c r="C688" t="s">
        <v>0</v>
      </c>
      <c r="D688" t="s">
        <v>869</v>
      </c>
      <c r="E688" t="s">
        <v>1400</v>
      </c>
      <c r="F688" t="s">
        <v>1315</v>
      </c>
      <c r="G688" t="str">
        <f t="shared" si="10"/>
        <v>https://wa.me/905425127759?text=%2AMEGA%20IZGARA%2A%20%C3%BCr%C3%BCn%C3%BC%20hakk%C4%B1nda%20bilgi%20almak%20istiyorum.</v>
      </c>
    </row>
    <row r="689" spans="1:7" x14ac:dyDescent="0.25">
      <c r="A689" t="s">
        <v>2619</v>
      </c>
      <c r="B689" s="1">
        <v>70</v>
      </c>
      <c r="C689" t="s">
        <v>0</v>
      </c>
      <c r="D689" t="s">
        <v>869</v>
      </c>
      <c r="E689" t="s">
        <v>1400</v>
      </c>
      <c r="F689" t="s">
        <v>2620</v>
      </c>
      <c r="G689" t="str">
        <f t="shared" si="10"/>
        <v>https://wa.me/905425127759?text=%2AMEME%20%28DO%C4%9EALGAZ%2FLPG%29%2A%20%C3%BCr%C3%BCn%C3%BC%20hakk%C4%B1nda%20bilgi%20almak%20istiyorum.</v>
      </c>
    </row>
    <row r="690" spans="1:7" x14ac:dyDescent="0.25">
      <c r="A690" t="s">
        <v>499</v>
      </c>
      <c r="B690" s="1">
        <v>660</v>
      </c>
      <c r="C690" t="s">
        <v>0</v>
      </c>
      <c r="D690" t="s">
        <v>869</v>
      </c>
      <c r="E690" t="s">
        <v>1400</v>
      </c>
      <c r="F690" t="s">
        <v>1316</v>
      </c>
      <c r="G690" t="str">
        <f t="shared" si="10"/>
        <v>https://wa.me/905425127759?text=%2AMURAT%20500%27L%C3%9CK%20VANALI%20DEDANT%C3%96R%2A%20%C3%BCr%C3%BCn%C3%BC%20hakk%C4%B1nda%20bilgi%20almak%20istiyorum.</v>
      </c>
    </row>
    <row r="691" spans="1:7" x14ac:dyDescent="0.25">
      <c r="A691" t="s">
        <v>500</v>
      </c>
      <c r="B691" s="1">
        <v>1300</v>
      </c>
      <c r="C691" t="s">
        <v>0</v>
      </c>
      <c r="D691" t="s">
        <v>869</v>
      </c>
      <c r="E691" t="s">
        <v>1400</v>
      </c>
      <c r="F691" t="s">
        <v>1317</v>
      </c>
      <c r="G691" t="str">
        <f t="shared" si="10"/>
        <v>https://wa.me/905425127759?text=%2AMURAT%20DEB%C4%B0L%C4%B0%20SANAY%C4%B0%20DEDANT%C3%96R%2A%20%C3%BCr%C3%BCn%C3%BC%20hakk%C4%B1nda%20bilgi%20almak%20istiyorum.</v>
      </c>
    </row>
    <row r="692" spans="1:7" x14ac:dyDescent="0.25">
      <c r="A692" t="s">
        <v>501</v>
      </c>
      <c r="B692" s="1">
        <v>660</v>
      </c>
      <c r="C692" t="s">
        <v>0</v>
      </c>
      <c r="D692" t="s">
        <v>869</v>
      </c>
      <c r="E692" t="s">
        <v>1400</v>
      </c>
      <c r="F692" t="s">
        <v>2404</v>
      </c>
      <c r="G692" t="str">
        <f t="shared" si="10"/>
        <v>https://wa.me/905425127759?text=%2AMURAT%20GE%C3%87ME%20%C5%9EOHBEN%20DEDANT%C3%96R%C3%9C%2A%20%C3%BCr%C3%BCn%C3%BC%20hakk%C4%B1nda%20bilgi%20almak%20istiyorum.</v>
      </c>
    </row>
    <row r="693" spans="1:7" x14ac:dyDescent="0.25">
      <c r="A693" t="s">
        <v>502</v>
      </c>
      <c r="B693" s="1">
        <v>660</v>
      </c>
      <c r="C693" t="s">
        <v>0</v>
      </c>
      <c r="D693" t="s">
        <v>869</v>
      </c>
      <c r="E693" t="s">
        <v>1400</v>
      </c>
      <c r="F693" t="s">
        <v>1318</v>
      </c>
      <c r="G693" t="str">
        <f t="shared" si="10"/>
        <v>https://wa.me/905425127759?text=%2AMURAT%20KAAN%20K%C4%B0L%C4%B0TL%C4%B0%20METAL%20DEDANT%C3%96R%2010%20MM%2A%20%C3%BCr%C3%BCn%C3%BC%20hakk%C4%B1nda%20bilgi%20almak%20istiyorum.</v>
      </c>
    </row>
    <row r="694" spans="1:7" x14ac:dyDescent="0.25">
      <c r="A694" t="s">
        <v>503</v>
      </c>
      <c r="B694" s="1">
        <v>660</v>
      </c>
      <c r="C694" t="s">
        <v>0</v>
      </c>
      <c r="D694" t="s">
        <v>869</v>
      </c>
      <c r="E694" t="s">
        <v>1400</v>
      </c>
      <c r="F694" t="s">
        <v>1319</v>
      </c>
      <c r="G694" t="str">
        <f t="shared" si="10"/>
        <v>https://wa.me/905425127759?text=%2AMURAT%20KAAN%20K%C4%B0L%C4%B0TL%C4%B0%20METAL%20DEDANT%C3%96R%208MM%2A%20%C3%BCr%C3%BCn%C3%BC%20hakk%C4%B1nda%20bilgi%20almak%20istiyorum.</v>
      </c>
    </row>
    <row r="695" spans="1:7" x14ac:dyDescent="0.25">
      <c r="A695" t="s">
        <v>504</v>
      </c>
      <c r="B695" s="1">
        <v>1200</v>
      </c>
      <c r="C695" t="s">
        <v>0</v>
      </c>
      <c r="D695" t="s">
        <v>869</v>
      </c>
      <c r="E695" t="s">
        <v>1400</v>
      </c>
      <c r="F695" t="s">
        <v>1320</v>
      </c>
      <c r="G695" t="str">
        <f t="shared" si="10"/>
        <v>https://wa.me/905425127759?text=%2AMURAT%20KOMB%C4%B0%20DEDANT%C3%96R%2A%20%C3%BCr%C3%BCn%C3%BC%20hakk%C4%B1nda%20bilgi%20almak%20istiyorum.</v>
      </c>
    </row>
    <row r="696" spans="1:7" x14ac:dyDescent="0.25">
      <c r="A696" t="s">
        <v>505</v>
      </c>
      <c r="B696" s="1">
        <v>1200</v>
      </c>
      <c r="C696" t="s">
        <v>0</v>
      </c>
      <c r="D696" t="s">
        <v>869</v>
      </c>
      <c r="E696" t="s">
        <v>1400</v>
      </c>
      <c r="F696" t="s">
        <v>1321</v>
      </c>
      <c r="G696" t="str">
        <f t="shared" si="10"/>
        <v>https://wa.me/905425127759?text=%2AMURAT%20KOMB%C4%B0%20DEDANT%C3%96R%C3%9C%202%20KG%2A%20%C3%BCr%C3%BCn%C3%BC%20hakk%C4%B1nda%20bilgi%20almak%20istiyorum.</v>
      </c>
    </row>
    <row r="697" spans="1:7" x14ac:dyDescent="0.25">
      <c r="A697" t="s">
        <v>506</v>
      </c>
      <c r="B697" s="1">
        <v>1200</v>
      </c>
      <c r="C697" t="s">
        <v>0</v>
      </c>
      <c r="D697" t="s">
        <v>869</v>
      </c>
      <c r="E697" t="s">
        <v>1400</v>
      </c>
      <c r="F697" t="s">
        <v>1322</v>
      </c>
      <c r="G697" t="str">
        <f t="shared" si="10"/>
        <v>https://wa.me/905425127759?text=%2AMURAT%20KOMB%C4%B0%20DEDANT%C3%96R%C3%9C%204%20KG%2A%20%C3%BCr%C3%BCn%C3%BC%20hakk%C4%B1nda%20bilgi%20almak%20istiyorum.</v>
      </c>
    </row>
    <row r="698" spans="1:7" x14ac:dyDescent="0.25">
      <c r="A698" t="s">
        <v>507</v>
      </c>
      <c r="B698" s="1">
        <v>660</v>
      </c>
      <c r="C698" t="s">
        <v>0</v>
      </c>
      <c r="D698" t="s">
        <v>869</v>
      </c>
      <c r="E698" t="s">
        <v>1400</v>
      </c>
      <c r="F698" t="s">
        <v>1323</v>
      </c>
      <c r="G698" t="str">
        <f t="shared" si="10"/>
        <v>https://wa.me/905425127759?text=%2AMURAT%20METAL%20500%27L%C3%9CK%20S%C4%B0BOBLU%20DEDANT%C3%96R%2A%20%C3%BCr%C3%BCn%C3%BC%20hakk%C4%B1nda%20bilgi%20almak%20istiyorum.</v>
      </c>
    </row>
    <row r="699" spans="1:7" x14ac:dyDescent="0.25">
      <c r="A699" t="s">
        <v>508</v>
      </c>
      <c r="B699" s="1">
        <v>660</v>
      </c>
      <c r="C699" t="s">
        <v>0</v>
      </c>
      <c r="D699" t="s">
        <v>869</v>
      </c>
      <c r="E699" t="s">
        <v>1400</v>
      </c>
      <c r="F699" t="s">
        <v>1324</v>
      </c>
      <c r="G699" t="str">
        <f t="shared" si="10"/>
        <v>https://wa.me/905425127759?text=%2AMURAT%20METAL%20DEDANT%C3%96R%20%2A%20%C3%BCr%C3%BCn%C3%BC%20hakk%C4%B1nda%20bilgi%20almak%20istiyorum.</v>
      </c>
    </row>
    <row r="700" spans="1:7" x14ac:dyDescent="0.25">
      <c r="A700" t="s">
        <v>509</v>
      </c>
      <c r="B700" s="1">
        <v>2600</v>
      </c>
      <c r="C700" t="s">
        <v>0</v>
      </c>
      <c r="D700" t="s">
        <v>869</v>
      </c>
      <c r="E700" t="s">
        <v>1400</v>
      </c>
      <c r="F700" t="s">
        <v>1325</v>
      </c>
      <c r="G700" t="str">
        <f t="shared" si="10"/>
        <v>https://wa.me/905425127759?text=%2AMURAT%20SAATL%C4%B0%20SANAY%C4%B0%20DEDANT%C3%96R%20%2A%20%C3%BCr%C3%BCn%C3%BC%20hakk%C4%B1nda%20bilgi%20almak%20istiyorum.</v>
      </c>
    </row>
    <row r="701" spans="1:7" x14ac:dyDescent="0.25">
      <c r="A701" t="s">
        <v>510</v>
      </c>
      <c r="B701" s="1">
        <v>1620</v>
      </c>
      <c r="C701" t="s">
        <v>0</v>
      </c>
      <c r="D701" t="s">
        <v>869</v>
      </c>
      <c r="E701" t="s">
        <v>1400</v>
      </c>
      <c r="F701" t="s">
        <v>1326</v>
      </c>
      <c r="G701" t="str">
        <f t="shared" si="10"/>
        <v>https://wa.me/905425127759?text=%2AMURAT%20SARI%20SANAY%C4%B0%20DEDANT%C3%96R%2A%20%C3%BCr%C3%BCn%C3%BC%20hakk%C4%B1nda%20bilgi%20almak%20istiyorum.</v>
      </c>
    </row>
    <row r="702" spans="1:7" x14ac:dyDescent="0.25">
      <c r="A702" t="s">
        <v>511</v>
      </c>
      <c r="B702" s="1">
        <v>660</v>
      </c>
      <c r="C702" t="s">
        <v>0</v>
      </c>
      <c r="D702" t="s">
        <v>869</v>
      </c>
      <c r="E702" t="s">
        <v>1400</v>
      </c>
      <c r="F702" t="s">
        <v>1327</v>
      </c>
      <c r="G702" t="str">
        <f t="shared" si="10"/>
        <v>https://wa.me/905425127759?text=%2AMURAT%20UFAK%20SANAY%C4%B0%20DEDANT%C3%96R%2A%20%C3%BCr%C3%BCn%C3%BC%20hakk%C4%B1nda%20bilgi%20almak%20istiyorum.</v>
      </c>
    </row>
    <row r="703" spans="1:7" x14ac:dyDescent="0.25">
      <c r="A703" t="s">
        <v>512</v>
      </c>
      <c r="B703" s="1">
        <v>660</v>
      </c>
      <c r="C703" t="s">
        <v>0</v>
      </c>
      <c r="D703" t="s">
        <v>869</v>
      </c>
      <c r="E703" t="s">
        <v>1400</v>
      </c>
      <c r="F703" t="s">
        <v>1328</v>
      </c>
      <c r="G703" t="str">
        <f t="shared" si="10"/>
        <v>https://wa.me/905425127759?text=%2AMURAT%20VANALI%20AYARLI%20DEDANT%C3%96R%2A%20%C3%BCr%C3%BCn%C3%BC%20hakk%C4%B1nda%20bilgi%20almak%20istiyorum.</v>
      </c>
    </row>
    <row r="704" spans="1:7" x14ac:dyDescent="0.25">
      <c r="A704" t="s">
        <v>513</v>
      </c>
      <c r="B704" s="1">
        <v>660</v>
      </c>
      <c r="C704" t="s">
        <v>0</v>
      </c>
      <c r="D704" t="s">
        <v>869</v>
      </c>
      <c r="E704" t="s">
        <v>1400</v>
      </c>
      <c r="F704" t="s">
        <v>1329</v>
      </c>
      <c r="G704" t="str">
        <f t="shared" si="10"/>
        <v>https://wa.me/905425127759?text=%2AMURAT%20VANALI%20DEDANT%C3%96R%2A%20%C3%BCr%C3%BCn%C3%BC%20hakk%C4%B1nda%20bilgi%20almak%20istiyorum.</v>
      </c>
    </row>
    <row r="705" spans="1:7" x14ac:dyDescent="0.25">
      <c r="A705" t="s">
        <v>514</v>
      </c>
      <c r="B705" s="1">
        <v>660</v>
      </c>
      <c r="C705" t="s">
        <v>0</v>
      </c>
      <c r="D705" t="s">
        <v>869</v>
      </c>
      <c r="E705" t="s">
        <v>1400</v>
      </c>
      <c r="F705" t="s">
        <v>2405</v>
      </c>
      <c r="G705" t="str">
        <f t="shared" ref="G705:G768" si="11">"https://wa.me/905425127759?text=" &amp; _xlfn.ENCODEURL("*" &amp; A705 &amp; "* ürünü hakkında bilgi almak istiyorum.")</f>
        <v>https://wa.me/905425127759?text=%2AMURAT%20VANALI%20%C5%9EOFBEN%20DEDANT%C3%96R%C3%9C%2A%20%C3%BCr%C3%BCn%C3%BC%20hakk%C4%B1nda%20bilgi%20almak%20istiyorum.</v>
      </c>
    </row>
    <row r="706" spans="1:7" x14ac:dyDescent="0.25">
      <c r="A706" t="s">
        <v>515</v>
      </c>
      <c r="B706" s="1">
        <v>280</v>
      </c>
      <c r="C706" t="s">
        <v>0</v>
      </c>
      <c r="D706" t="s">
        <v>869</v>
      </c>
      <c r="E706" t="s">
        <v>1400</v>
      </c>
      <c r="F706" t="s">
        <v>2406</v>
      </c>
      <c r="G706" t="str">
        <f t="shared" si="11"/>
        <v>https://wa.me/905425127759?text=%2ANURGAZ%20190%20GR%20KARTU%C5%9E%20%2A%20%C3%BCr%C3%BCn%C3%BC%20hakk%C4%B1nda%20bilgi%20almak%20istiyorum.</v>
      </c>
    </row>
    <row r="707" spans="1:7" x14ac:dyDescent="0.25">
      <c r="A707" t="s">
        <v>516</v>
      </c>
      <c r="B707" s="1">
        <v>0</v>
      </c>
      <c r="C707" t="s">
        <v>0</v>
      </c>
      <c r="D707" t="s">
        <v>869</v>
      </c>
      <c r="E707" t="s">
        <v>1400</v>
      </c>
      <c r="F707" t="s">
        <v>1330</v>
      </c>
      <c r="G707" t="str">
        <f t="shared" si="11"/>
        <v>https://wa.me/905425127759?text=%2ANURGAZ%20190%20GR%20L%C3%9CKS%20%2A%20%C3%BCr%C3%BCn%C3%BC%20hakk%C4%B1nda%20bilgi%20almak%20istiyorum.</v>
      </c>
    </row>
    <row r="708" spans="1:7" x14ac:dyDescent="0.25">
      <c r="A708" t="s">
        <v>517</v>
      </c>
      <c r="B708" s="1">
        <v>280</v>
      </c>
      <c r="C708" t="s">
        <v>0</v>
      </c>
      <c r="D708" t="s">
        <v>869</v>
      </c>
      <c r="E708" t="s">
        <v>1400</v>
      </c>
      <c r="F708" t="s">
        <v>2407</v>
      </c>
      <c r="G708" t="str">
        <f t="shared" si="11"/>
        <v>https://wa.me/905425127759?text=%2ANURGAZ%20220%20GR%20UZUN%20KARTU%C5%9E%20%2A%20%C3%BCr%C3%BCn%C3%BC%20hakk%C4%B1nda%20bilgi%20almak%20istiyorum.</v>
      </c>
    </row>
    <row r="709" spans="1:7" x14ac:dyDescent="0.25">
      <c r="A709" t="s">
        <v>518</v>
      </c>
      <c r="B709" s="1">
        <v>420</v>
      </c>
      <c r="C709" t="s">
        <v>0</v>
      </c>
      <c r="D709" t="s">
        <v>869</v>
      </c>
      <c r="E709" t="s">
        <v>1400</v>
      </c>
      <c r="F709" t="s">
        <v>2507</v>
      </c>
      <c r="G709" t="str">
        <f t="shared" si="11"/>
        <v>https://wa.me/905425127759?text=%2ANURGAZ%20230%20GR%20V%C4%B0DALI%20KARTU%C5%9E%2A%20%C3%BCr%C3%BCn%C3%BC%20hakk%C4%B1nda%20bilgi%20almak%20istiyorum.</v>
      </c>
    </row>
    <row r="710" spans="1:7" x14ac:dyDescent="0.25">
      <c r="A710" t="s">
        <v>519</v>
      </c>
      <c r="B710" s="1">
        <v>560</v>
      </c>
      <c r="C710" t="s">
        <v>0</v>
      </c>
      <c r="D710" t="s">
        <v>869</v>
      </c>
      <c r="E710" t="s">
        <v>1400</v>
      </c>
      <c r="F710" t="s">
        <v>2508</v>
      </c>
      <c r="G710" t="str">
        <f t="shared" si="11"/>
        <v>https://wa.me/905425127759?text=%2ANURGAZ%20450%20GR%20V%C4%B0DALI%20KARTU%C5%9E%2A%20%C3%BCr%C3%BCn%C3%BC%20hakk%C4%B1nda%20bilgi%20almak%20istiyorum.</v>
      </c>
    </row>
    <row r="711" spans="1:7" x14ac:dyDescent="0.25">
      <c r="A711" t="s">
        <v>520</v>
      </c>
      <c r="B711" s="1">
        <v>480</v>
      </c>
      <c r="C711" t="s">
        <v>0</v>
      </c>
      <c r="D711" t="s">
        <v>869</v>
      </c>
      <c r="E711" t="s">
        <v>1400</v>
      </c>
      <c r="F711" t="s">
        <v>2408</v>
      </c>
      <c r="G711" t="str">
        <f t="shared" si="11"/>
        <v>https://wa.me/905425127759?text=%2ANURGAZ%20500%20GR%20KARTU%C5%9E%2A%20%C3%BCr%C3%BCn%C3%BC%20hakk%C4%B1nda%20bilgi%20almak%20istiyorum.</v>
      </c>
    </row>
    <row r="712" spans="1:7" x14ac:dyDescent="0.25">
      <c r="A712" t="s">
        <v>521</v>
      </c>
      <c r="B712" s="1">
        <v>0</v>
      </c>
      <c r="C712" t="s">
        <v>0</v>
      </c>
      <c r="D712" t="s">
        <v>869</v>
      </c>
      <c r="E712" t="s">
        <v>1400</v>
      </c>
      <c r="F712" t="s">
        <v>1331</v>
      </c>
      <c r="G712" t="str">
        <f t="shared" si="11"/>
        <v>https://wa.me/905425127759?text=%2ANURGAZ%20500%20GR%20L%C3%9CKS%2A%20%C3%BCr%C3%BCn%C3%BC%20hakk%C4%B1nda%20bilgi%20almak%20istiyorum.</v>
      </c>
    </row>
    <row r="713" spans="1:7" x14ac:dyDescent="0.25">
      <c r="A713" t="s">
        <v>522</v>
      </c>
      <c r="B713" s="1">
        <v>0</v>
      </c>
      <c r="C713" t="s">
        <v>0</v>
      </c>
      <c r="D713" t="s">
        <v>869</v>
      </c>
      <c r="E713" t="s">
        <v>1400</v>
      </c>
      <c r="F713" t="s">
        <v>1332</v>
      </c>
      <c r="G713" t="str">
        <f t="shared" si="11"/>
        <v>https://wa.me/905425127759?text=%2ANURGAZ%20500%20GR%20OCAK%2A%20%C3%BCr%C3%BCn%C3%BC%20hakk%C4%B1nda%20bilgi%20almak%20istiyorum.</v>
      </c>
    </row>
    <row r="714" spans="1:7" x14ac:dyDescent="0.25">
      <c r="A714" t="s">
        <v>523</v>
      </c>
      <c r="B714" s="1">
        <v>2800</v>
      </c>
      <c r="C714" t="s">
        <v>0</v>
      </c>
      <c r="D714" t="s">
        <v>869</v>
      </c>
      <c r="E714" t="s">
        <v>1400</v>
      </c>
      <c r="F714" t="s">
        <v>1333</v>
      </c>
      <c r="G714" t="str">
        <f t="shared" si="11"/>
        <v>https://wa.me/905425127759?text=%2ANURGAZ%20%C3%87ANTALI%20PORTAT%C4%B0F%20OCAK%2A%20%C3%BCr%C3%BCn%C3%BC%20hakk%C4%B1nda%20bilgi%20almak%20istiyorum.</v>
      </c>
    </row>
    <row r="715" spans="1:7" x14ac:dyDescent="0.25">
      <c r="A715" t="s">
        <v>524</v>
      </c>
      <c r="B715" s="1">
        <v>1800</v>
      </c>
      <c r="C715" t="s">
        <v>0</v>
      </c>
      <c r="D715" t="s">
        <v>869</v>
      </c>
      <c r="E715" t="s">
        <v>1400</v>
      </c>
      <c r="F715" t="s">
        <v>1334</v>
      </c>
      <c r="G715" t="str">
        <f t="shared" si="11"/>
        <v>https://wa.me/905425127759?text=%2ANURGAZ%20%C3%87OK%20AMA%C3%87LI%20AYGAZ%2A%20%C3%BCr%C3%BCn%C3%BC%20hakk%C4%B1nda%20bilgi%20almak%20istiyorum.</v>
      </c>
    </row>
    <row r="716" spans="1:7" x14ac:dyDescent="0.25">
      <c r="A716" t="s">
        <v>525</v>
      </c>
      <c r="B716" s="1">
        <v>1800</v>
      </c>
      <c r="C716" t="s">
        <v>0</v>
      </c>
      <c r="D716" t="s">
        <v>869</v>
      </c>
      <c r="E716" t="s">
        <v>1400</v>
      </c>
      <c r="F716" t="s">
        <v>1335</v>
      </c>
      <c r="G716" t="str">
        <f t="shared" si="11"/>
        <v>https://wa.me/905425127759?text=%2ANURGAZ%20%C3%87OK%20AMA%C3%87LI%20%C4%B0PRA%2A%20%C3%BCr%C3%BCn%C3%BC%20hakk%C4%B1nda%20bilgi%20almak%20istiyorum.</v>
      </c>
    </row>
    <row r="717" spans="1:7" x14ac:dyDescent="0.25">
      <c r="A717" t="s">
        <v>526</v>
      </c>
      <c r="B717" s="1">
        <v>2200</v>
      </c>
      <c r="C717" t="s">
        <v>0</v>
      </c>
      <c r="D717" t="s">
        <v>869</v>
      </c>
      <c r="E717" t="s">
        <v>1400</v>
      </c>
      <c r="F717" t="s">
        <v>2409</v>
      </c>
      <c r="G717" t="str">
        <f t="shared" si="11"/>
        <v>https://wa.me/905425127759?text=%2ANURGAZ%20G%C3%9CNE%C5%9E%202%20SOBA%20%2A%20%C3%BCr%C3%BCn%C3%BC%20hakk%C4%B1nda%20bilgi%20almak%20istiyorum.</v>
      </c>
    </row>
    <row r="718" spans="1:7" x14ac:dyDescent="0.25">
      <c r="A718" t="s">
        <v>527</v>
      </c>
      <c r="B718" s="1">
        <v>370</v>
      </c>
      <c r="C718" t="s">
        <v>0</v>
      </c>
      <c r="D718" t="s">
        <v>869</v>
      </c>
      <c r="E718" t="s">
        <v>1400</v>
      </c>
      <c r="F718" t="s">
        <v>1338</v>
      </c>
      <c r="G718" t="str">
        <f t="shared" si="11"/>
        <v>https://wa.me/905425127759?text=%2ANURGAZ%20KAMP%20OCAK%20AYGAZ%20%2A%20%C3%BCr%C3%BCn%C3%BC%20hakk%C4%B1nda%20bilgi%20almak%20istiyorum.</v>
      </c>
    </row>
    <row r="719" spans="1:7" x14ac:dyDescent="0.25">
      <c r="A719" t="s">
        <v>528</v>
      </c>
      <c r="B719" s="1">
        <v>390</v>
      </c>
      <c r="C719" t="s">
        <v>0</v>
      </c>
      <c r="D719" t="s">
        <v>869</v>
      </c>
      <c r="E719" t="s">
        <v>1400</v>
      </c>
      <c r="F719" t="s">
        <v>1339</v>
      </c>
      <c r="G719" t="str">
        <f t="shared" si="11"/>
        <v>https://wa.me/905425127759?text=%2ANURGAZ%20KAMP%20OCAK%20%C4%B0PRA%20%2A%20%C3%BCr%C3%BCn%C3%BC%20hakk%C4%B1nda%20bilgi%20almak%20istiyorum.</v>
      </c>
    </row>
    <row r="720" spans="1:7" x14ac:dyDescent="0.25">
      <c r="A720" t="s">
        <v>529</v>
      </c>
      <c r="B720" s="1">
        <v>600</v>
      </c>
      <c r="C720" t="s">
        <v>0</v>
      </c>
      <c r="D720" t="s">
        <v>869</v>
      </c>
      <c r="E720" t="s">
        <v>1400</v>
      </c>
      <c r="F720" t="s">
        <v>1340</v>
      </c>
      <c r="G720" t="str">
        <f t="shared" si="11"/>
        <v>https://wa.me/905425127759?text=%2ANURGAZ%20K%C3%9C%C3%87%C3%9CK%20L%C3%9CKS%20AYGAZ%2A%20%C3%BCr%C3%BCn%C3%BC%20hakk%C4%B1nda%20bilgi%20almak%20istiyorum.</v>
      </c>
    </row>
    <row r="721" spans="1:7" x14ac:dyDescent="0.25">
      <c r="A721" t="s">
        <v>530</v>
      </c>
      <c r="B721" s="1">
        <v>410</v>
      </c>
      <c r="C721" t="s">
        <v>0</v>
      </c>
      <c r="D721" t="s">
        <v>869</v>
      </c>
      <c r="E721" t="s">
        <v>1400</v>
      </c>
      <c r="F721" t="s">
        <v>1341</v>
      </c>
      <c r="G721" t="str">
        <f t="shared" si="11"/>
        <v>https://wa.me/905425127759?text=%2ANURGAZ%20K%C3%9C%C3%87%C3%9CK%20TURBO%20KAMP%20OCAK%20AYGAZ%20%2A%20%C3%BCr%C3%BCn%C3%BC%20hakk%C4%B1nda%20bilgi%20almak%20istiyorum.</v>
      </c>
    </row>
    <row r="722" spans="1:7" x14ac:dyDescent="0.25">
      <c r="A722" t="s">
        <v>531</v>
      </c>
      <c r="B722" s="1">
        <v>430</v>
      </c>
      <c r="C722" t="s">
        <v>0</v>
      </c>
      <c r="D722" t="s">
        <v>869</v>
      </c>
      <c r="E722" t="s">
        <v>1400</v>
      </c>
      <c r="F722" t="s">
        <v>1342</v>
      </c>
      <c r="G722" t="str">
        <f t="shared" si="11"/>
        <v>https://wa.me/905425127759?text=%2ANURGAZ%20K%C3%9C%C3%87%C3%9CK%20TURBO%20KAMP%20OCAK%20%C4%B0PRA%2A%20%C3%BCr%C3%BCn%C3%BC%20hakk%C4%B1nda%20bilgi%20almak%20istiyorum.</v>
      </c>
    </row>
    <row r="723" spans="1:7" x14ac:dyDescent="0.25">
      <c r="A723" t="s">
        <v>532</v>
      </c>
      <c r="B723" s="1">
        <v>800</v>
      </c>
      <c r="C723" t="s">
        <v>0</v>
      </c>
      <c r="D723" t="s">
        <v>869</v>
      </c>
      <c r="E723" t="s">
        <v>1400</v>
      </c>
      <c r="F723" t="s">
        <v>1343</v>
      </c>
      <c r="G723" t="str">
        <f t="shared" si="11"/>
        <v>https://wa.me/905425127759?text=%2ANURGAZ%20L%C3%9CKS%20AYGAZ%2A%20%C3%BCr%C3%BCn%C3%BC%20hakk%C4%B1nda%20bilgi%20almak%20istiyorum.</v>
      </c>
    </row>
    <row r="724" spans="1:7" x14ac:dyDescent="0.25">
      <c r="A724" t="s">
        <v>533</v>
      </c>
      <c r="B724" s="1">
        <v>800</v>
      </c>
      <c r="C724" t="s">
        <v>0</v>
      </c>
      <c r="D724" t="s">
        <v>869</v>
      </c>
      <c r="E724" t="s">
        <v>1400</v>
      </c>
      <c r="F724" t="s">
        <v>1344</v>
      </c>
      <c r="G724" t="str">
        <f t="shared" si="11"/>
        <v>https://wa.me/905425127759?text=%2ANURGAZ%20L%C3%9CKS%20%C4%B0PRA%2A%20%C3%BCr%C3%BCn%C3%BC%20hakk%C4%B1nda%20bilgi%20almak%20istiyorum.</v>
      </c>
    </row>
    <row r="725" spans="1:7" x14ac:dyDescent="0.25">
      <c r="A725" t="s">
        <v>534</v>
      </c>
      <c r="B725" s="1">
        <v>0</v>
      </c>
      <c r="C725" t="s">
        <v>0</v>
      </c>
      <c r="D725" t="s">
        <v>869</v>
      </c>
      <c r="E725" t="s">
        <v>1400</v>
      </c>
      <c r="F725" t="s">
        <v>1345</v>
      </c>
      <c r="G725" t="str">
        <f t="shared" si="11"/>
        <v>https://wa.me/905425127759?text=%2ANURGAZ%20NARG%C4%B0LE%20OCA%C4%9EI%2A%20%C3%BCr%C3%BCn%C3%BC%20hakk%C4%B1nda%20bilgi%20almak%20istiyorum.</v>
      </c>
    </row>
    <row r="726" spans="1:7" x14ac:dyDescent="0.25">
      <c r="A726" t="s">
        <v>535</v>
      </c>
      <c r="B726" s="1">
        <v>1000</v>
      </c>
      <c r="C726" t="s">
        <v>0</v>
      </c>
      <c r="D726" t="s">
        <v>869</v>
      </c>
      <c r="E726" t="s">
        <v>1400</v>
      </c>
      <c r="F726" t="s">
        <v>2410</v>
      </c>
      <c r="G726" t="str">
        <f t="shared" si="11"/>
        <v>https://wa.me/905425127759?text=%2ANURGAZ%20NG-0060%20%C5%9EALOMA%2A%20%C3%BCr%C3%BCn%C3%BC%20hakk%C4%B1nda%20bilgi%20almak%20istiyorum.</v>
      </c>
    </row>
    <row r="727" spans="1:7" x14ac:dyDescent="0.25">
      <c r="A727" t="s">
        <v>536</v>
      </c>
      <c r="B727" s="1">
        <v>1000</v>
      </c>
      <c r="C727" t="s">
        <v>0</v>
      </c>
      <c r="D727" t="s">
        <v>869</v>
      </c>
      <c r="E727" t="s">
        <v>1400</v>
      </c>
      <c r="F727" t="s">
        <v>2411</v>
      </c>
      <c r="G727" t="str">
        <f t="shared" si="11"/>
        <v>https://wa.me/905425127759?text=%2ANURGAZ%20NG-0150%20%C5%9EALOMA%2A%20%C3%BCr%C3%BCn%C3%BC%20hakk%C4%B1nda%20bilgi%20almak%20istiyorum.</v>
      </c>
    </row>
    <row r="728" spans="1:7" x14ac:dyDescent="0.25">
      <c r="A728" t="s">
        <v>537</v>
      </c>
      <c r="B728" s="1">
        <v>1000</v>
      </c>
      <c r="C728" t="s">
        <v>0</v>
      </c>
      <c r="D728" t="s">
        <v>869</v>
      </c>
      <c r="E728" t="s">
        <v>1400</v>
      </c>
      <c r="F728" t="s">
        <v>2412</v>
      </c>
      <c r="G728" t="str">
        <f t="shared" si="11"/>
        <v>https://wa.me/905425127759?text=%2ANURGAZ%20NG-0250%20KUYUMCU%20%C5%9EALOMA%20%2A%20%C3%BCr%C3%BCn%C3%BC%20hakk%C4%B1nda%20bilgi%20almak%20istiyorum.</v>
      </c>
    </row>
    <row r="729" spans="1:7" x14ac:dyDescent="0.25">
      <c r="A729" t="s">
        <v>538</v>
      </c>
      <c r="B729" s="1">
        <v>1000</v>
      </c>
      <c r="C729" t="s">
        <v>0</v>
      </c>
      <c r="D729" t="s">
        <v>869</v>
      </c>
      <c r="E729" t="s">
        <v>1400</v>
      </c>
      <c r="F729" t="s">
        <v>2413</v>
      </c>
      <c r="G729" t="str">
        <f t="shared" si="11"/>
        <v>https://wa.me/905425127759?text=%2ANURGAZ%20NG-0350%20%C5%9EALOMA%2A%20%C3%BCr%C3%BCn%C3%BC%20hakk%C4%B1nda%20bilgi%20almak%20istiyorum.</v>
      </c>
    </row>
    <row r="730" spans="1:7" x14ac:dyDescent="0.25">
      <c r="A730" t="s">
        <v>539</v>
      </c>
      <c r="B730" s="1">
        <v>1050</v>
      </c>
      <c r="C730" t="s">
        <v>0</v>
      </c>
      <c r="D730" t="s">
        <v>869</v>
      </c>
      <c r="E730" t="s">
        <v>1400</v>
      </c>
      <c r="F730" t="s">
        <v>2414</v>
      </c>
      <c r="G730" t="str">
        <f t="shared" si="11"/>
        <v>https://wa.me/905425127759?text=%2ANURGAZ%20NG-0500%20%C5%9EALOMA%2A%20%C3%BCr%C3%BCn%C3%BC%20hakk%C4%B1nda%20bilgi%20almak%20istiyorum.</v>
      </c>
    </row>
    <row r="731" spans="1:7" x14ac:dyDescent="0.25">
      <c r="A731" t="s">
        <v>540</v>
      </c>
      <c r="B731" s="1">
        <v>1100</v>
      </c>
      <c r="C731" t="s">
        <v>0</v>
      </c>
      <c r="D731" t="s">
        <v>869</v>
      </c>
      <c r="E731" t="s">
        <v>1400</v>
      </c>
      <c r="F731" t="s">
        <v>2415</v>
      </c>
      <c r="G731" t="str">
        <f t="shared" si="11"/>
        <v>https://wa.me/905425127759?text=%2ANURGAZ%20NG-0550%20%C5%9EALOMA%2A%20%C3%BCr%C3%BCn%C3%BC%20hakk%C4%B1nda%20bilgi%20almak%20istiyorum.</v>
      </c>
    </row>
    <row r="732" spans="1:7" x14ac:dyDescent="0.25">
      <c r="A732" t="s">
        <v>541</v>
      </c>
      <c r="B732" s="1">
        <v>1200</v>
      </c>
      <c r="C732" t="s">
        <v>0</v>
      </c>
      <c r="D732" t="s">
        <v>869</v>
      </c>
      <c r="E732" t="s">
        <v>1400</v>
      </c>
      <c r="F732" t="s">
        <v>2416</v>
      </c>
      <c r="G732" t="str">
        <f t="shared" si="11"/>
        <v>https://wa.me/905425127759?text=%2ANURGAZ%20NG-0600%20%C5%9EALOMA%2A%20%C3%BCr%C3%BCn%C3%BC%20hakk%C4%B1nda%20bilgi%20almak%20istiyorum.</v>
      </c>
    </row>
    <row r="733" spans="1:7" x14ac:dyDescent="0.25">
      <c r="A733" t="s">
        <v>542</v>
      </c>
      <c r="B733" s="1">
        <v>1300</v>
      </c>
      <c r="C733" t="s">
        <v>0</v>
      </c>
      <c r="D733" t="s">
        <v>869</v>
      </c>
      <c r="E733" t="s">
        <v>1400</v>
      </c>
      <c r="F733" t="s">
        <v>2417</v>
      </c>
      <c r="G733" t="str">
        <f t="shared" si="11"/>
        <v>https://wa.me/905425127759?text=%2ANURGAZ%20NG-0650%20%C5%9EALOMA%2A%20%C3%BCr%C3%BCn%C3%BC%20hakk%C4%B1nda%20bilgi%20almak%20istiyorum.</v>
      </c>
    </row>
    <row r="734" spans="1:7" x14ac:dyDescent="0.25">
      <c r="A734" t="s">
        <v>543</v>
      </c>
      <c r="B734" s="1">
        <v>1300</v>
      </c>
      <c r="C734" t="s">
        <v>0</v>
      </c>
      <c r="D734" t="s">
        <v>869</v>
      </c>
      <c r="E734" t="s">
        <v>1400</v>
      </c>
      <c r="F734" t="s">
        <v>2418</v>
      </c>
      <c r="G734" t="str">
        <f t="shared" si="11"/>
        <v>https://wa.me/905425127759?text=%2ANURGAZ%20NG-0700%20%C5%9EALOMA%2A%20%C3%BCr%C3%BCn%C3%BC%20hakk%C4%B1nda%20bilgi%20almak%20istiyorum.</v>
      </c>
    </row>
    <row r="735" spans="1:7" x14ac:dyDescent="0.25">
      <c r="A735" t="s">
        <v>544</v>
      </c>
      <c r="B735" s="1">
        <v>1200</v>
      </c>
      <c r="C735" t="s">
        <v>0</v>
      </c>
      <c r="D735" t="s">
        <v>869</v>
      </c>
      <c r="E735" t="s">
        <v>1400</v>
      </c>
      <c r="F735" t="s">
        <v>2419</v>
      </c>
      <c r="G735" t="str">
        <f t="shared" si="11"/>
        <v>https://wa.me/905425127759?text=%2ANURGAZ%20NG-075%20TROYA%20OCAK%2A%20%C3%BCr%C3%BCn%C3%BC%20hakk%C4%B1nda%20bilgi%20almak%20istiyorum.</v>
      </c>
    </row>
    <row r="736" spans="1:7" x14ac:dyDescent="0.25">
      <c r="A736" t="s">
        <v>545</v>
      </c>
      <c r="B736" s="1">
        <v>1400</v>
      </c>
      <c r="C736" t="s">
        <v>0</v>
      </c>
      <c r="D736" t="s">
        <v>869</v>
      </c>
      <c r="E736" t="s">
        <v>1400</v>
      </c>
      <c r="F736" t="s">
        <v>2420</v>
      </c>
      <c r="G736" t="str">
        <f t="shared" si="11"/>
        <v>https://wa.me/905425127759?text=%2ANURGAZ%20NG-076%20OLYMPOS%20OCAK%2A%20%C3%BCr%C3%BCn%C3%BC%20hakk%C4%B1nda%20bilgi%20almak%20istiyorum.</v>
      </c>
    </row>
    <row r="737" spans="1:7" x14ac:dyDescent="0.25">
      <c r="A737" t="s">
        <v>546</v>
      </c>
      <c r="B737" s="1">
        <v>1600</v>
      </c>
      <c r="C737" t="s">
        <v>0</v>
      </c>
      <c r="D737" t="s">
        <v>869</v>
      </c>
      <c r="E737" t="s">
        <v>1400</v>
      </c>
      <c r="F737" t="s">
        <v>2421</v>
      </c>
      <c r="G737" t="str">
        <f t="shared" si="11"/>
        <v>https://wa.me/905425127759?text=%2ANURGAZ%20NG-0800%20%C5%9EALOMA%2A%20%C3%BCr%C3%BCn%C3%BC%20hakk%C4%B1nda%20bilgi%20almak%20istiyorum.</v>
      </c>
    </row>
    <row r="738" spans="1:7" x14ac:dyDescent="0.25">
      <c r="A738" t="s">
        <v>547</v>
      </c>
      <c r="B738" s="1">
        <v>1600</v>
      </c>
      <c r="C738" t="s">
        <v>0</v>
      </c>
      <c r="D738" t="s">
        <v>869</v>
      </c>
      <c r="E738" t="s">
        <v>1400</v>
      </c>
      <c r="F738" t="s">
        <v>2509</v>
      </c>
      <c r="G738" t="str">
        <f t="shared" si="11"/>
        <v>https://wa.me/905425127759?text=%2ANURGAZ%20NG-0975%20%C5%9EALOMA%20TET%C4%B0KL%C4%B0%20%2825%20CM%29%2A%20%C3%BCr%C3%BCn%C3%BC%20hakk%C4%B1nda%20bilgi%20almak%20istiyorum.</v>
      </c>
    </row>
    <row r="739" spans="1:7" x14ac:dyDescent="0.25">
      <c r="A739" t="s">
        <v>548</v>
      </c>
      <c r="B739" s="1">
        <v>1700</v>
      </c>
      <c r="C739" t="s">
        <v>0</v>
      </c>
      <c r="D739" t="s">
        <v>869</v>
      </c>
      <c r="E739" t="s">
        <v>1400</v>
      </c>
      <c r="F739" t="s">
        <v>2510</v>
      </c>
      <c r="G739" t="str">
        <f t="shared" si="11"/>
        <v>https://wa.me/905425127759?text=%2ANURGAZ%20NG-0985%20%C5%9EALOMA%20TET%C4%B0KL%C4%B0%20%2833%20CM%29%2A%20%C3%BCr%C3%BCn%C3%BC%20hakk%C4%B1nda%20bilgi%20almak%20istiyorum.</v>
      </c>
    </row>
    <row r="740" spans="1:7" x14ac:dyDescent="0.25">
      <c r="A740" t="s">
        <v>549</v>
      </c>
      <c r="B740" s="1">
        <v>1500</v>
      </c>
      <c r="C740" t="s">
        <v>0</v>
      </c>
      <c r="D740" t="s">
        <v>869</v>
      </c>
      <c r="E740" t="s">
        <v>1400</v>
      </c>
      <c r="F740" t="s">
        <v>2511</v>
      </c>
      <c r="G740" t="str">
        <f t="shared" si="11"/>
        <v>https://wa.me/905425127759?text=%2ANURGAZ%20NG-0995%20%C5%9EALOMA%20TET%C4%B0KL%C4%B0%20%2813%20CM%29%2A%20%C3%BCr%C3%BCn%C3%BC%20hakk%C4%B1nda%20bilgi%20almak%20istiyorum.</v>
      </c>
    </row>
    <row r="741" spans="1:7" x14ac:dyDescent="0.25">
      <c r="A741" t="s">
        <v>550</v>
      </c>
      <c r="B741" s="1">
        <v>1800</v>
      </c>
      <c r="C741" t="s">
        <v>0</v>
      </c>
      <c r="D741" t="s">
        <v>869</v>
      </c>
      <c r="E741" t="s">
        <v>1400</v>
      </c>
      <c r="F741" t="s">
        <v>2512</v>
      </c>
      <c r="G741" t="str">
        <f t="shared" si="11"/>
        <v>https://wa.me/905425127759?text=%2ANURGAZ%20NG-1010%20%C5%9EALOMA%20TET%C4%B0KL%C4%B0%20%2845CM%29%2A%20%C3%BCr%C3%BCn%C3%BC%20hakk%C4%B1nda%20bilgi%20almak%20istiyorum.</v>
      </c>
    </row>
    <row r="742" spans="1:7" x14ac:dyDescent="0.25">
      <c r="A742" t="s">
        <v>551</v>
      </c>
      <c r="B742" s="1">
        <v>1900</v>
      </c>
      <c r="C742" t="s">
        <v>0</v>
      </c>
      <c r="D742" t="s">
        <v>869</v>
      </c>
      <c r="E742" t="s">
        <v>1400</v>
      </c>
      <c r="F742" t="s">
        <v>2513</v>
      </c>
      <c r="G742" t="str">
        <f t="shared" si="11"/>
        <v>https://wa.me/905425127759?text=%2ANURGAZ%20NG-1060%20%C5%9EALOMA%20TET%C4%B0KL%C4%B0%20%2875CM%29%2A%20%C3%BCr%C3%BCn%C3%BC%20hakk%C4%B1nda%20bilgi%20almak%20istiyorum.</v>
      </c>
    </row>
    <row r="743" spans="1:7" x14ac:dyDescent="0.25">
      <c r="A743" t="s">
        <v>552</v>
      </c>
      <c r="B743" s="1">
        <v>0</v>
      </c>
      <c r="C743" t="s">
        <v>0</v>
      </c>
      <c r="D743" t="s">
        <v>869</v>
      </c>
      <c r="E743" t="s">
        <v>1400</v>
      </c>
      <c r="F743" t="s">
        <v>2422</v>
      </c>
      <c r="G743" t="str">
        <f t="shared" si="11"/>
        <v>https://wa.me/905425127759?text=%2ANURGAZ%20NG-1300%20%C5%9EALOMA%2A%20%C3%BCr%C3%BCn%C3%BC%20hakk%C4%B1nda%20bilgi%20almak%20istiyorum.</v>
      </c>
    </row>
    <row r="744" spans="1:7" x14ac:dyDescent="0.25">
      <c r="A744" t="s">
        <v>865</v>
      </c>
      <c r="B744" s="1">
        <v>1300</v>
      </c>
      <c r="C744" t="s">
        <v>0</v>
      </c>
      <c r="D744" t="s">
        <v>869</v>
      </c>
      <c r="E744" t="s">
        <v>1400</v>
      </c>
      <c r="F744" t="s">
        <v>2423</v>
      </c>
      <c r="G744" t="str">
        <f t="shared" si="11"/>
        <v>https://wa.me/905425127759?text=%2ANURGAZ%20NG-503%20TORCH%20P%C3%9CRM%C3%9CZ%2A%20%C3%BCr%C3%BCn%C3%BC%20hakk%C4%B1nda%20bilgi%20almak%20istiyorum.</v>
      </c>
    </row>
    <row r="745" spans="1:7" x14ac:dyDescent="0.25">
      <c r="A745" t="s">
        <v>863</v>
      </c>
      <c r="B745" s="1">
        <v>350</v>
      </c>
      <c r="C745" t="s">
        <v>0</v>
      </c>
      <c r="D745" t="s">
        <v>869</v>
      </c>
      <c r="E745" t="s">
        <v>1400</v>
      </c>
      <c r="F745" t="s">
        <v>1336</v>
      </c>
      <c r="G745" t="str">
        <f t="shared" si="11"/>
        <v>https://wa.me/905425127759?text=%2ANURGAZ%20S%C4%B0YAH%20BOYALI%20KAMP%20OCAK%20AYGAZ%2A%20%C3%BCr%C3%BCn%C3%BC%20hakk%C4%B1nda%20bilgi%20almak%20istiyorum.</v>
      </c>
    </row>
    <row r="746" spans="1:7" x14ac:dyDescent="0.25">
      <c r="A746" t="s">
        <v>864</v>
      </c>
      <c r="B746" s="1">
        <v>370</v>
      </c>
      <c r="C746" t="s">
        <v>0</v>
      </c>
      <c r="D746" t="s">
        <v>869</v>
      </c>
      <c r="E746" t="s">
        <v>1400</v>
      </c>
      <c r="F746" t="s">
        <v>1337</v>
      </c>
      <c r="G746" t="str">
        <f t="shared" si="11"/>
        <v>https://wa.me/905425127759?text=%2ANURGAZ%20S%C4%B0YAH%20BOYALI%20KAMP%20OCAK%20%C4%B0PRA%2A%20%C3%BCr%C3%BCn%C3%BC%20hakk%C4%B1nda%20bilgi%20almak%20istiyorum.</v>
      </c>
    </row>
    <row r="747" spans="1:7" x14ac:dyDescent="0.25">
      <c r="A747" t="s">
        <v>553</v>
      </c>
      <c r="B747" s="1">
        <v>440</v>
      </c>
      <c r="C747" t="s">
        <v>0</v>
      </c>
      <c r="D747" t="s">
        <v>869</v>
      </c>
      <c r="E747" t="s">
        <v>1400</v>
      </c>
      <c r="F747" t="s">
        <v>1346</v>
      </c>
      <c r="G747" t="str">
        <f t="shared" si="11"/>
        <v>https://wa.me/905425127759?text=%2ANURGAZ%20TURBO%20KAMP%20OCAK%20AYGAZ%2A%20%C3%BCr%C3%BCn%C3%BC%20hakk%C4%B1nda%20bilgi%20almak%20istiyorum.</v>
      </c>
    </row>
    <row r="748" spans="1:7" x14ac:dyDescent="0.25">
      <c r="A748" t="s">
        <v>554</v>
      </c>
      <c r="B748" s="1">
        <v>460</v>
      </c>
      <c r="C748" t="s">
        <v>0</v>
      </c>
      <c r="D748" t="s">
        <v>869</v>
      </c>
      <c r="E748" t="s">
        <v>1400</v>
      </c>
      <c r="F748" t="s">
        <v>1347</v>
      </c>
      <c r="G748" t="str">
        <f t="shared" si="11"/>
        <v>https://wa.me/905425127759?text=%2ANURGAZ%20TURBO%20KAMP%20OCAK%20%C4%B0PRA%2A%20%C3%BCr%C3%BCn%C3%BC%20hakk%C4%B1nda%20bilgi%20almak%20istiyorum.</v>
      </c>
    </row>
    <row r="749" spans="1:7" x14ac:dyDescent="0.25">
      <c r="A749" t="s">
        <v>555</v>
      </c>
      <c r="B749" s="1">
        <v>280</v>
      </c>
      <c r="C749" t="s">
        <v>0</v>
      </c>
      <c r="D749" t="s">
        <v>869</v>
      </c>
      <c r="E749" t="s">
        <v>1400</v>
      </c>
      <c r="F749" t="s">
        <v>2424</v>
      </c>
      <c r="G749" t="str">
        <f t="shared" si="11"/>
        <v>https://wa.me/905425127759?text=%2ANURGAZ%20UZUN%20KARTU%C5%9E%20NG-207%2A%20%C3%BCr%C3%BCn%C3%BC%20hakk%C4%B1nda%20bilgi%20almak%20istiyorum.</v>
      </c>
    </row>
    <row r="750" spans="1:7" x14ac:dyDescent="0.25">
      <c r="A750" t="s">
        <v>556</v>
      </c>
      <c r="B750" s="1">
        <v>70</v>
      </c>
      <c r="C750" t="s">
        <v>0</v>
      </c>
      <c r="D750" t="s">
        <v>869</v>
      </c>
      <c r="E750" t="s">
        <v>1400</v>
      </c>
      <c r="F750" t="s">
        <v>2514</v>
      </c>
      <c r="G750" t="str">
        <f t="shared" si="11"/>
        <v>https://wa.me/905425127759?text=%2AOCAK%20DO%C4%9EALGAZ%20G%C4%B0R%C4%B0%C5%9E%2A%20%C3%BCr%C3%BCn%C3%BC%20hakk%C4%B1nda%20bilgi%20almak%20istiyorum.</v>
      </c>
    </row>
    <row r="751" spans="1:7" x14ac:dyDescent="0.25">
      <c r="A751" t="s">
        <v>557</v>
      </c>
      <c r="B751" s="1">
        <v>70</v>
      </c>
      <c r="C751" t="s">
        <v>0</v>
      </c>
      <c r="D751" t="s">
        <v>869</v>
      </c>
      <c r="E751" t="s">
        <v>1400</v>
      </c>
      <c r="F751" t="s">
        <v>2515</v>
      </c>
      <c r="G751" t="str">
        <f t="shared" si="11"/>
        <v>https://wa.me/905425127759?text=%2AOCAK%20HORTUM%20G%C4%B0R%C4%B0%C5%9E%C4%B0%2A%20%C3%BCr%C3%BCn%C3%BC%20hakk%C4%B1nda%20bilgi%20almak%20istiyorum.</v>
      </c>
    </row>
    <row r="752" spans="1:7" x14ac:dyDescent="0.25">
      <c r="A752" t="s">
        <v>558</v>
      </c>
      <c r="B752" s="1">
        <v>70</v>
      </c>
      <c r="C752" t="s">
        <v>0</v>
      </c>
      <c r="D752" t="s">
        <v>869</v>
      </c>
      <c r="E752" t="s">
        <v>1400</v>
      </c>
      <c r="F752" t="s">
        <v>1348</v>
      </c>
      <c r="G752" t="str">
        <f t="shared" si="11"/>
        <v>https://wa.me/905425127759?text=%2AOCAK%20K%C3%96RTAPA%20DAR%2A%20%C3%BCr%C3%BCn%C3%BC%20hakk%C4%B1nda%20bilgi%20almak%20istiyorum.</v>
      </c>
    </row>
    <row r="753" spans="1:7" x14ac:dyDescent="0.25">
      <c r="A753" t="s">
        <v>559</v>
      </c>
      <c r="B753" s="1">
        <v>1500</v>
      </c>
      <c r="C753" t="s">
        <v>0</v>
      </c>
      <c r="D753" t="s">
        <v>869</v>
      </c>
      <c r="E753" t="s">
        <v>1400</v>
      </c>
      <c r="F753" t="s">
        <v>1349</v>
      </c>
      <c r="G753" t="str">
        <f t="shared" si="11"/>
        <v>https://wa.me/905425127759?text=%2AOCAK%20%C3%9CST%C3%9C%20K%C3%9CNEFE%20OCA%C4%9EI%2A%20%C3%BCr%C3%BCn%C3%BC%20hakk%C4%B1nda%20bilgi%20almak%20istiyorum.</v>
      </c>
    </row>
    <row r="754" spans="1:7" x14ac:dyDescent="0.25">
      <c r="A754" t="s">
        <v>680</v>
      </c>
      <c r="B754" s="1">
        <v>970</v>
      </c>
      <c r="C754" t="s">
        <v>0</v>
      </c>
      <c r="D754" t="s">
        <v>869</v>
      </c>
      <c r="E754" t="s">
        <v>1400</v>
      </c>
      <c r="F754" t="s">
        <v>1387</v>
      </c>
      <c r="G754" t="str">
        <f t="shared" si="11"/>
        <v>https://wa.me/905425127759?text=%2AORGAZ%20190%20GR%20KAMP%20L%C3%9CKS%2A%20%C3%BCr%C3%BCn%C3%BC%20hakk%C4%B1nda%20bilgi%20almak%20istiyorum.</v>
      </c>
    </row>
    <row r="755" spans="1:7" x14ac:dyDescent="0.25">
      <c r="A755" t="s">
        <v>560</v>
      </c>
      <c r="B755" s="1">
        <v>1300</v>
      </c>
      <c r="C755" t="s">
        <v>0</v>
      </c>
      <c r="D755" t="s">
        <v>869</v>
      </c>
      <c r="E755" t="s">
        <v>1400</v>
      </c>
      <c r="F755" t="s">
        <v>1350</v>
      </c>
      <c r="G755" t="str">
        <f t="shared" si="11"/>
        <v>https://wa.me/905425127759?text=%2AORGAZ%20500%20GR%20L%C3%9CKS%20LAMBA%2A%20%C3%BCr%C3%BCn%C3%BC%20hakk%C4%B1nda%20bilgi%20almak%20istiyorum.</v>
      </c>
    </row>
    <row r="756" spans="1:7" x14ac:dyDescent="0.25">
      <c r="A756" t="s">
        <v>561</v>
      </c>
      <c r="B756" s="1">
        <v>10</v>
      </c>
      <c r="C756" t="s">
        <v>0</v>
      </c>
      <c r="D756" t="s">
        <v>869</v>
      </c>
      <c r="E756" t="s">
        <v>1400</v>
      </c>
      <c r="F756" t="s">
        <v>1351</v>
      </c>
      <c r="G756" t="str">
        <f t="shared" si="11"/>
        <v>https://wa.me/905425127759?text=%2AP%C4%B0KN%C4%B0K%20D%C3%9C%C4%9EME%2A%20%C3%BCr%C3%BCn%C3%BC%20hakk%C4%B1nda%20bilgi%20almak%20istiyorum.</v>
      </c>
    </row>
    <row r="757" spans="1:7" x14ac:dyDescent="0.25">
      <c r="A757" t="s">
        <v>562</v>
      </c>
      <c r="B757" s="1">
        <v>30</v>
      </c>
      <c r="C757" t="s">
        <v>0</v>
      </c>
      <c r="D757" t="s">
        <v>869</v>
      </c>
      <c r="E757" t="s">
        <v>1400</v>
      </c>
      <c r="F757" t="s">
        <v>1352</v>
      </c>
      <c r="G757" t="str">
        <f t="shared" si="11"/>
        <v>https://wa.me/905425127759?text=%2AP%C4%B0KN%C4%B0K%20MEME%2A%20%C3%BCr%C3%BCn%C3%BC%20hakk%C4%B1nda%20bilgi%20almak%20istiyorum.</v>
      </c>
    </row>
    <row r="758" spans="1:7" x14ac:dyDescent="0.25">
      <c r="A758" t="s">
        <v>563</v>
      </c>
      <c r="B758" s="1">
        <v>30</v>
      </c>
      <c r="C758" t="s">
        <v>0</v>
      </c>
      <c r="D758" t="s">
        <v>869</v>
      </c>
      <c r="E758" t="s">
        <v>1400</v>
      </c>
      <c r="F758" t="s">
        <v>1353</v>
      </c>
      <c r="G758" t="str">
        <f t="shared" si="11"/>
        <v>https://wa.me/905425127759?text=%2AP%C4%B0KN%C4%B0K%20U%C3%87%20HORTUM%20G%C4%B0RECEK%2A%20%C3%BCr%C3%BCn%C3%BC%20hakk%C4%B1nda%20bilgi%20almak%20istiyorum.</v>
      </c>
    </row>
    <row r="759" spans="1:7" x14ac:dyDescent="0.25">
      <c r="A759" t="s">
        <v>564</v>
      </c>
      <c r="B759" s="1">
        <v>2</v>
      </c>
      <c r="C759" t="s">
        <v>0</v>
      </c>
      <c r="D759" t="s">
        <v>869</v>
      </c>
      <c r="E759" t="s">
        <v>1400</v>
      </c>
      <c r="F759" t="s">
        <v>1354</v>
      </c>
      <c r="G759" t="str">
        <f t="shared" si="11"/>
        <v>https://wa.me/905425127759?text=%2AP%C4%B0KN%C4%B0K%20V%C4%B0DA%2A%20%C3%BCr%C3%BCn%C3%BC%20hakk%C4%B1nda%20bilgi%20almak%20istiyorum.</v>
      </c>
    </row>
    <row r="760" spans="1:7" x14ac:dyDescent="0.25">
      <c r="A760" t="s">
        <v>565</v>
      </c>
      <c r="B760" s="1">
        <v>400</v>
      </c>
      <c r="C760" t="s">
        <v>0</v>
      </c>
      <c r="D760" t="s">
        <v>869</v>
      </c>
      <c r="E760" t="s">
        <v>1400</v>
      </c>
      <c r="F760" t="s">
        <v>1355</v>
      </c>
      <c r="G760" t="str">
        <f t="shared" si="11"/>
        <v>https://wa.me/905425127759?text=%2AP%C3%9CRM%C3%9CZ%20AYGAZ%2A%20%C3%BCr%C3%BCn%C3%BC%20hakk%C4%B1nda%20bilgi%20almak%20istiyorum.</v>
      </c>
    </row>
    <row r="761" spans="1:7" x14ac:dyDescent="0.25">
      <c r="A761" t="s">
        <v>566</v>
      </c>
      <c r="B761" s="1">
        <v>420</v>
      </c>
      <c r="C761" t="s">
        <v>0</v>
      </c>
      <c r="D761" t="s">
        <v>869</v>
      </c>
      <c r="E761" t="s">
        <v>1400</v>
      </c>
      <c r="F761" t="s">
        <v>1356</v>
      </c>
      <c r="G761" t="str">
        <f t="shared" si="11"/>
        <v>https://wa.me/905425127759?text=%2AP%C3%9CRM%C3%9CZ%20%C4%B0PRA%20%2A%20%C3%BCr%C3%BCn%C3%BC%20hakk%C4%B1nda%20bilgi%20almak%20istiyorum.</v>
      </c>
    </row>
    <row r="762" spans="1:7" x14ac:dyDescent="0.25">
      <c r="A762" t="s">
        <v>567</v>
      </c>
      <c r="B762" s="1">
        <v>1260</v>
      </c>
      <c r="C762" t="s">
        <v>0</v>
      </c>
      <c r="D762" t="s">
        <v>869</v>
      </c>
      <c r="E762" t="s">
        <v>1400</v>
      </c>
      <c r="F762" t="s">
        <v>1357</v>
      </c>
      <c r="G762" t="str">
        <f t="shared" si="11"/>
        <v>https://wa.me/905425127759?text=%2ARADYAN%20DO%C4%9EALGAZ%20METSER%2A%20%C3%BCr%C3%BCn%C3%BC%20hakk%C4%B1nda%20bilgi%20almak%20istiyorum.</v>
      </c>
    </row>
    <row r="763" spans="1:7" x14ac:dyDescent="0.25">
      <c r="A763" t="s">
        <v>568</v>
      </c>
      <c r="B763" s="1">
        <v>1120</v>
      </c>
      <c r="C763" t="s">
        <v>0</v>
      </c>
      <c r="D763" t="s">
        <v>869</v>
      </c>
      <c r="E763" t="s">
        <v>1400</v>
      </c>
      <c r="F763" t="s">
        <v>1358</v>
      </c>
      <c r="G763" t="str">
        <f t="shared" si="11"/>
        <v>https://wa.me/905425127759?text=%2ARADYAN%20LPG%20METSER%2A%20%C3%BCr%C3%BCn%C3%BC%20hakk%C4%B1nda%20bilgi%20almak%20istiyorum.</v>
      </c>
    </row>
    <row r="764" spans="1:7" x14ac:dyDescent="0.25">
      <c r="A764" t="s">
        <v>569</v>
      </c>
      <c r="B764" s="1">
        <v>0</v>
      </c>
      <c r="C764" t="s">
        <v>0</v>
      </c>
      <c r="D764" t="s">
        <v>869</v>
      </c>
      <c r="E764" t="s">
        <v>1400</v>
      </c>
      <c r="F764" t="s">
        <v>1359</v>
      </c>
      <c r="G764" t="str">
        <f t="shared" si="11"/>
        <v>https://wa.me/905425127759?text=%2ARADYAN%20TEL%C4%B0%2A%20%C3%BCr%C3%BCn%C3%BC%20hakk%C4%B1nda%20bilgi%20almak%20istiyorum.</v>
      </c>
    </row>
    <row r="765" spans="1:7" x14ac:dyDescent="0.25">
      <c r="A765" t="s">
        <v>666</v>
      </c>
      <c r="B765" s="1">
        <v>500</v>
      </c>
      <c r="C765" t="s">
        <v>0</v>
      </c>
      <c r="D765" t="s">
        <v>869</v>
      </c>
      <c r="E765" t="s">
        <v>1400</v>
      </c>
      <c r="F765" t="s">
        <v>2516</v>
      </c>
      <c r="G765" t="str">
        <f t="shared" si="11"/>
        <v>https://wa.me/905425127759?text=%2ARED%C3%9CKS%C4%B0YON%20HORTUM%20G%C4%B0R%C4%B0%C5%9EL%C4%B0%2A%20%C3%BCr%C3%BCn%C3%BC%20hakk%C4%B1nda%20bilgi%20almak%20istiyorum.</v>
      </c>
    </row>
    <row r="766" spans="1:7" x14ac:dyDescent="0.25">
      <c r="A766" t="s">
        <v>570</v>
      </c>
      <c r="B766" s="1">
        <v>0</v>
      </c>
      <c r="C766" t="s">
        <v>0</v>
      </c>
      <c r="D766" t="s">
        <v>869</v>
      </c>
      <c r="E766" t="s">
        <v>1400</v>
      </c>
      <c r="F766" t="s">
        <v>1360</v>
      </c>
      <c r="G766" t="str">
        <f t="shared" si="11"/>
        <v>https://wa.me/905425127759?text=%2ASANAY%C4%B0%20BORU%2A%20%C3%BCr%C3%BCn%C3%BC%20hakk%C4%B1nda%20bilgi%20almak%20istiyorum.</v>
      </c>
    </row>
    <row r="767" spans="1:7" x14ac:dyDescent="0.25">
      <c r="A767" t="s">
        <v>571</v>
      </c>
      <c r="B767" s="1">
        <v>550</v>
      </c>
      <c r="C767" t="s">
        <v>0</v>
      </c>
      <c r="D767" t="s">
        <v>869</v>
      </c>
      <c r="E767" t="s">
        <v>1400</v>
      </c>
      <c r="F767" t="s">
        <v>1361</v>
      </c>
      <c r="G767" t="str">
        <f t="shared" si="11"/>
        <v>https://wa.me/905425127759?text=%2ASANAY%C4%B0%20MUSLUK%20DG%2A%20%C3%BCr%C3%BCn%C3%BC%20hakk%C4%B1nda%20bilgi%20almak%20istiyorum.</v>
      </c>
    </row>
    <row r="768" spans="1:7" x14ac:dyDescent="0.25">
      <c r="A768" t="s">
        <v>572</v>
      </c>
      <c r="B768" s="1">
        <v>550</v>
      </c>
      <c r="C768" t="s">
        <v>0</v>
      </c>
      <c r="D768" t="s">
        <v>869</v>
      </c>
      <c r="E768" t="s">
        <v>1400</v>
      </c>
      <c r="F768" t="s">
        <v>1362</v>
      </c>
      <c r="G768" t="str">
        <f t="shared" si="11"/>
        <v>https://wa.me/905425127759?text=%2ASANAY%C4%B0%20MUSLUK%20LPG%2A%20%C3%BCr%C3%BCn%C3%BC%20hakk%C4%B1nda%20bilgi%20almak%20istiyorum.</v>
      </c>
    </row>
    <row r="769" spans="1:7" x14ac:dyDescent="0.25">
      <c r="A769" t="s">
        <v>573</v>
      </c>
      <c r="B769" s="1">
        <v>0</v>
      </c>
      <c r="C769" t="s">
        <v>0</v>
      </c>
      <c r="D769" t="s">
        <v>869</v>
      </c>
      <c r="E769" t="s">
        <v>1400</v>
      </c>
      <c r="F769" t="s">
        <v>1363</v>
      </c>
      <c r="G769" t="str">
        <f t="shared" ref="G769:G832" si="12">"https://wa.me/905425127759?text=" &amp; _xlfn.ENCODEURL("*" &amp; A769 &amp; "* ürünü hakkında bilgi almak istiyorum.")</f>
        <v>https://wa.me/905425127759?text=%2ASEB%C4%B0L%20BARDAKLI%C4%9EI%2A%20%C3%BCr%C3%BCn%C3%BC%20hakk%C4%B1nda%20bilgi%20almak%20istiyorum.</v>
      </c>
    </row>
    <row r="770" spans="1:7" x14ac:dyDescent="0.25">
      <c r="A770" t="s">
        <v>603</v>
      </c>
      <c r="B770" s="1">
        <v>4</v>
      </c>
      <c r="C770" t="s">
        <v>0</v>
      </c>
      <c r="D770" t="s">
        <v>869</v>
      </c>
      <c r="E770" t="s">
        <v>1400</v>
      </c>
      <c r="F770" t="s">
        <v>1380</v>
      </c>
      <c r="G770" t="str">
        <f t="shared" si="12"/>
        <v>https://wa.me/905425127759?text=%2AS%C4%B0BOPLU%20CONTA%2A%20%C3%BCr%C3%BCn%C3%BC%20hakk%C4%B1nda%20bilgi%20almak%20istiyorum.</v>
      </c>
    </row>
    <row r="771" spans="1:7" x14ac:dyDescent="0.25">
      <c r="A771" t="s">
        <v>574</v>
      </c>
      <c r="B771" s="1">
        <v>290</v>
      </c>
      <c r="C771" t="s">
        <v>0</v>
      </c>
      <c r="D771" t="s">
        <v>869</v>
      </c>
      <c r="E771" t="s">
        <v>1400</v>
      </c>
      <c r="F771" t="s">
        <v>1364</v>
      </c>
      <c r="G771" t="str">
        <f t="shared" si="12"/>
        <v>https://wa.me/905425127759?text=%2ASU%20POMPASI%20BLUERA%C4%B0N%2A%20%C3%BCr%C3%BCn%C3%BC%20hakk%C4%B1nda%20bilgi%20almak%20istiyorum.</v>
      </c>
    </row>
    <row r="772" spans="1:7" x14ac:dyDescent="0.25">
      <c r="A772" t="s">
        <v>575</v>
      </c>
      <c r="B772" s="1">
        <v>250</v>
      </c>
      <c r="C772" t="s">
        <v>0</v>
      </c>
      <c r="D772" t="s">
        <v>869</v>
      </c>
      <c r="E772" t="s">
        <v>1400</v>
      </c>
      <c r="F772" t="s">
        <v>1365</v>
      </c>
      <c r="G772" t="str">
        <f t="shared" si="12"/>
        <v>https://wa.me/905425127759?text=%2ASU%20POMPASI%20DORY%2A%20%C3%BCr%C3%BCn%C3%BC%20hakk%C4%B1nda%20bilgi%20almak%20istiyorum.</v>
      </c>
    </row>
    <row r="773" spans="1:7" x14ac:dyDescent="0.25">
      <c r="A773" t="s">
        <v>576</v>
      </c>
      <c r="B773" s="1">
        <v>260</v>
      </c>
      <c r="C773" t="s">
        <v>0</v>
      </c>
      <c r="D773" t="s">
        <v>869</v>
      </c>
      <c r="E773" t="s">
        <v>1400</v>
      </c>
      <c r="F773" t="s">
        <v>1366</v>
      </c>
      <c r="G773" t="str">
        <f t="shared" si="12"/>
        <v>https://wa.me/905425127759?text=%2ASU%20POMPASI%20LABELLA%2A%20%C3%BCr%C3%BCn%C3%BC%20hakk%C4%B1nda%20bilgi%20almak%20istiyorum.</v>
      </c>
    </row>
    <row r="774" spans="1:7" x14ac:dyDescent="0.25">
      <c r="A774" t="s">
        <v>577</v>
      </c>
      <c r="B774" s="1">
        <v>46</v>
      </c>
      <c r="C774" t="s">
        <v>0</v>
      </c>
      <c r="D774" t="s">
        <v>869</v>
      </c>
      <c r="E774" t="s">
        <v>1400</v>
      </c>
      <c r="F774" t="s">
        <v>1367</v>
      </c>
      <c r="G774" t="str">
        <f t="shared" si="12"/>
        <v>https://wa.me/905425127759?text=%2AS%C3%9CZGE%C3%87%2A%20%C3%BCr%C3%BCn%C3%BC%20hakk%C4%B1nda%20bilgi%20almak%20istiyorum.</v>
      </c>
    </row>
    <row r="775" spans="1:7" x14ac:dyDescent="0.25">
      <c r="A775" t="s">
        <v>442</v>
      </c>
      <c r="B775" s="1">
        <v>55</v>
      </c>
      <c r="C775" t="s">
        <v>0</v>
      </c>
      <c r="D775" t="s">
        <v>869</v>
      </c>
      <c r="E775" t="s">
        <v>1400</v>
      </c>
      <c r="F775" t="s">
        <v>2517</v>
      </c>
      <c r="G775" t="str">
        <f t="shared" si="12"/>
        <v>https://wa.me/905425127759?text=%2AS%C3%9CZGE%C3%87%20GEN%C4%B0%C5%9E%2A%20%C3%BCr%C3%BCn%C3%BC%20hakk%C4%B1nda%20bilgi%20almak%20istiyorum.</v>
      </c>
    </row>
    <row r="776" spans="1:7" x14ac:dyDescent="0.25">
      <c r="A776" t="s">
        <v>587</v>
      </c>
      <c r="B776" s="1">
        <v>60</v>
      </c>
      <c r="C776" t="s">
        <v>0</v>
      </c>
      <c r="D776" t="s">
        <v>869</v>
      </c>
      <c r="E776" t="s">
        <v>1400</v>
      </c>
      <c r="F776" t="s">
        <v>1371</v>
      </c>
      <c r="G776" t="str">
        <f t="shared" si="12"/>
        <v>https://wa.me/905425127759?text=%2AS%C3%9CZGE%C3%87%20V%C4%B0DALI%2A%20%C3%BCr%C3%BCn%C3%BC%20hakk%C4%B1nda%20bilgi%20almak%20istiyorum.</v>
      </c>
    </row>
    <row r="777" spans="1:7" x14ac:dyDescent="0.25">
      <c r="A777" t="s">
        <v>718</v>
      </c>
      <c r="B777" s="1">
        <v>70</v>
      </c>
      <c r="C777" t="s">
        <v>0</v>
      </c>
      <c r="D777" t="s">
        <v>869</v>
      </c>
      <c r="E777" t="s">
        <v>1400</v>
      </c>
      <c r="F777" t="s">
        <v>1388</v>
      </c>
      <c r="G777" t="str">
        <f t="shared" si="12"/>
        <v>https://wa.me/905425127759?text=%2AS%C3%9CZGE%C3%87%20V%C4%B0DALI%20TURBO%2A%20%C3%BCr%C3%BCn%C3%BC%20hakk%C4%B1nda%20bilgi%20almak%20istiyorum.</v>
      </c>
    </row>
    <row r="778" spans="1:7" x14ac:dyDescent="0.25">
      <c r="A778" t="s">
        <v>584</v>
      </c>
      <c r="B778" s="1">
        <v>80</v>
      </c>
      <c r="C778" t="s">
        <v>0</v>
      </c>
      <c r="D778" t="s">
        <v>869</v>
      </c>
      <c r="E778" t="s">
        <v>1400</v>
      </c>
      <c r="F778" t="s">
        <v>1368</v>
      </c>
      <c r="G778" t="str">
        <f t="shared" si="12"/>
        <v>https://wa.me/905425127759?text=%2ATURBO%20S%C3%9CZGE%C3%87%2A%20%C3%BCr%C3%BCn%C3%BC%20hakk%C4%B1nda%20bilgi%20almak%20istiyorum.</v>
      </c>
    </row>
    <row r="779" spans="1:7" x14ac:dyDescent="0.25">
      <c r="A779" t="s">
        <v>628</v>
      </c>
      <c r="B779" s="1">
        <v>1500</v>
      </c>
      <c r="C779" t="s">
        <v>0</v>
      </c>
      <c r="D779" t="s">
        <v>869</v>
      </c>
      <c r="E779" t="s">
        <v>1400</v>
      </c>
      <c r="F779" t="s">
        <v>1385</v>
      </c>
      <c r="G779" t="str">
        <f t="shared" si="12"/>
        <v>https://wa.me/905425127759?text=%2AT%C3%9CPL%C3%9C%20SAC%20EMAYE%20KAYSER%C4%B0%2A%20%C3%BCr%C3%BCn%C3%BC%20hakk%C4%B1nda%20bilgi%20almak%20istiyorum.</v>
      </c>
    </row>
    <row r="780" spans="1:7" x14ac:dyDescent="0.25">
      <c r="A780" t="s">
        <v>585</v>
      </c>
      <c r="B780" s="1">
        <v>330</v>
      </c>
      <c r="C780" t="s">
        <v>0</v>
      </c>
      <c r="D780" t="s">
        <v>869</v>
      </c>
      <c r="E780" t="s">
        <v>1400</v>
      </c>
      <c r="F780" t="s">
        <v>1369</v>
      </c>
      <c r="G780" t="str">
        <f t="shared" si="12"/>
        <v>https://wa.me/905425127759?text=%2AUSTA%20%2F%20KOSVA%20K%C3%9C%C3%87%C3%9CK%20TURBO%20KAMP%20OCAK%20AYGAZ%2A%20%C3%BCr%C3%BCn%C3%BC%20hakk%C4%B1nda%20bilgi%20almak%20istiyorum.</v>
      </c>
    </row>
    <row r="781" spans="1:7" x14ac:dyDescent="0.25">
      <c r="A781" t="s">
        <v>586</v>
      </c>
      <c r="B781" s="1">
        <v>350</v>
      </c>
      <c r="C781" t="s">
        <v>0</v>
      </c>
      <c r="D781" t="s">
        <v>869</v>
      </c>
      <c r="E781" t="s">
        <v>1400</v>
      </c>
      <c r="F781" t="s">
        <v>1370</v>
      </c>
      <c r="G781" t="str">
        <f t="shared" si="12"/>
        <v>https://wa.me/905425127759?text=%2AUSTA%20%2F%20KOSVA%20K%C3%9C%C3%87%C3%9CK%20TURBO%20KAMP%20OCAK%20%C4%B0PRA%2A%20%C3%BCr%C3%BCn%C3%BC%20hakk%C4%B1nda%20bilgi%20almak%20istiyorum.</v>
      </c>
    </row>
    <row r="782" spans="1:7" x14ac:dyDescent="0.25">
      <c r="A782" t="s">
        <v>588</v>
      </c>
      <c r="B782" s="1">
        <v>70</v>
      </c>
      <c r="C782" t="s">
        <v>0</v>
      </c>
      <c r="D782" t="s">
        <v>869</v>
      </c>
      <c r="E782" t="s">
        <v>1400</v>
      </c>
      <c r="F782" t="s">
        <v>1372</v>
      </c>
      <c r="G782" t="str">
        <f t="shared" si="12"/>
        <v>https://wa.me/905425127759?text=%2AV%C4%B0DALI%20S%C3%9CZGE%C3%87%20ORTA%20BOY%2A%20%C3%BCr%C3%BCn%C3%BC%20hakk%C4%B1nda%20bilgi%20almak%20istiyorum.</v>
      </c>
    </row>
    <row r="783" spans="1:7" x14ac:dyDescent="0.25">
      <c r="A783" t="s">
        <v>2621</v>
      </c>
      <c r="B783" s="1">
        <v>200</v>
      </c>
      <c r="C783" t="s">
        <v>0</v>
      </c>
      <c r="D783" t="s">
        <v>869</v>
      </c>
      <c r="E783" t="s">
        <v>1400</v>
      </c>
      <c r="F783" t="s">
        <v>2622</v>
      </c>
      <c r="G783" t="str">
        <f t="shared" si="12"/>
        <v>https://wa.me/905425127759?text=%2AVOLKAN%20MUSLUK%2A%20%C3%BCr%C3%BCn%C3%BC%20hakk%C4%B1nda%20bilgi%20almak%20istiyorum.</v>
      </c>
    </row>
    <row r="784" spans="1:7" x14ac:dyDescent="0.25">
      <c r="A784" t="s">
        <v>670</v>
      </c>
      <c r="B784" s="1">
        <v>1700</v>
      </c>
      <c r="C784" t="s">
        <v>0</v>
      </c>
      <c r="D784" t="s">
        <v>869</v>
      </c>
      <c r="E784" t="s">
        <v>1400</v>
      </c>
      <c r="F784" t="s">
        <v>1386</v>
      </c>
      <c r="G784" t="str">
        <f t="shared" si="12"/>
        <v>https://wa.me/905425127759?text=%2AVOLKAN%20YUVARLAK%2A%20%C3%BCr%C3%BCn%C3%BC%20hakk%C4%B1nda%20bilgi%20almak%20istiyorum.</v>
      </c>
    </row>
    <row r="785" spans="5:7" x14ac:dyDescent="0.25">
      <c r="E785" t="s">
        <v>1400</v>
      </c>
      <c r="G785" t="str">
        <f t="shared" si="12"/>
        <v>https://wa.me/905425127759?text=%2A%2A%20%C3%BCr%C3%BCn%C3%BC%20hakk%C4%B1nda%20bilgi%20almak%20istiyorum.</v>
      </c>
    </row>
    <row r="786" spans="5:7" x14ac:dyDescent="0.25">
      <c r="E786" t="s">
        <v>1400</v>
      </c>
      <c r="G786" t="str">
        <f t="shared" si="12"/>
        <v>https://wa.me/905425127759?text=%2A%2A%20%C3%BCr%C3%BCn%C3%BC%20hakk%C4%B1nda%20bilgi%20almak%20istiyorum.</v>
      </c>
    </row>
    <row r="787" spans="5:7" x14ac:dyDescent="0.25">
      <c r="E787" t="s">
        <v>1400</v>
      </c>
      <c r="G787" t="str">
        <f t="shared" si="12"/>
        <v>https://wa.me/905425127759?text=%2A%2A%20%C3%BCr%C3%BCn%C3%BC%20hakk%C4%B1nda%20bilgi%20almak%20istiyorum.</v>
      </c>
    </row>
    <row r="788" spans="5:7" x14ac:dyDescent="0.25">
      <c r="E788" t="s">
        <v>1400</v>
      </c>
      <c r="G788" t="str">
        <f t="shared" si="12"/>
        <v>https://wa.me/905425127759?text=%2A%2A%20%C3%BCr%C3%BCn%C3%BC%20hakk%C4%B1nda%20bilgi%20almak%20istiyorum.</v>
      </c>
    </row>
    <row r="789" spans="5:7" x14ac:dyDescent="0.25">
      <c r="E789" t="s">
        <v>1400</v>
      </c>
      <c r="G789" t="str">
        <f t="shared" si="12"/>
        <v>https://wa.me/905425127759?text=%2A%2A%20%C3%BCr%C3%BCn%C3%BC%20hakk%C4%B1nda%20bilgi%20almak%20istiyorum.</v>
      </c>
    </row>
    <row r="790" spans="5:7" x14ac:dyDescent="0.25">
      <c r="E790" t="s">
        <v>1400</v>
      </c>
      <c r="G790" t="str">
        <f t="shared" si="12"/>
        <v>https://wa.me/905425127759?text=%2A%2A%20%C3%BCr%C3%BCn%C3%BC%20hakk%C4%B1nda%20bilgi%20almak%20istiyorum.</v>
      </c>
    </row>
    <row r="791" spans="5:7" x14ac:dyDescent="0.25">
      <c r="E791" t="s">
        <v>1400</v>
      </c>
      <c r="G791" t="str">
        <f t="shared" si="12"/>
        <v>https://wa.me/905425127759?text=%2A%2A%20%C3%BCr%C3%BCn%C3%BC%20hakk%C4%B1nda%20bilgi%20almak%20istiyorum.</v>
      </c>
    </row>
    <row r="792" spans="5:7" x14ac:dyDescent="0.25">
      <c r="E792" t="s">
        <v>1400</v>
      </c>
      <c r="G792" t="str">
        <f t="shared" si="12"/>
        <v>https://wa.me/905425127759?text=%2A%2A%20%C3%BCr%C3%BCn%C3%BC%20hakk%C4%B1nda%20bilgi%20almak%20istiyorum.</v>
      </c>
    </row>
    <row r="793" spans="5:7" x14ac:dyDescent="0.25">
      <c r="E793" t="s">
        <v>1400</v>
      </c>
      <c r="G793" t="str">
        <f t="shared" si="12"/>
        <v>https://wa.me/905425127759?text=%2A%2A%20%C3%BCr%C3%BCn%C3%BC%20hakk%C4%B1nda%20bilgi%20almak%20istiyorum.</v>
      </c>
    </row>
    <row r="794" spans="5:7" x14ac:dyDescent="0.25">
      <c r="E794" t="s">
        <v>1400</v>
      </c>
      <c r="G794" t="str">
        <f t="shared" si="12"/>
        <v>https://wa.me/905425127759?text=%2A%2A%20%C3%BCr%C3%BCn%C3%BC%20hakk%C4%B1nda%20bilgi%20almak%20istiyorum.</v>
      </c>
    </row>
    <row r="795" spans="5:7" x14ac:dyDescent="0.25">
      <c r="E795" t="s">
        <v>1400</v>
      </c>
      <c r="G795" t="str">
        <f t="shared" si="12"/>
        <v>https://wa.me/905425127759?text=%2A%2A%20%C3%BCr%C3%BCn%C3%BC%20hakk%C4%B1nda%20bilgi%20almak%20istiyorum.</v>
      </c>
    </row>
    <row r="796" spans="5:7" x14ac:dyDescent="0.25">
      <c r="E796" t="s">
        <v>1400</v>
      </c>
      <c r="G796" t="str">
        <f t="shared" si="12"/>
        <v>https://wa.me/905425127759?text=%2A%2A%20%C3%BCr%C3%BCn%C3%BC%20hakk%C4%B1nda%20bilgi%20almak%20istiyorum.</v>
      </c>
    </row>
    <row r="797" spans="5:7" x14ac:dyDescent="0.25">
      <c r="E797" t="s">
        <v>1400</v>
      </c>
      <c r="G797" t="str">
        <f t="shared" si="12"/>
        <v>https://wa.me/905425127759?text=%2A%2A%20%C3%BCr%C3%BCn%C3%BC%20hakk%C4%B1nda%20bilgi%20almak%20istiyorum.</v>
      </c>
    </row>
    <row r="798" spans="5:7" x14ac:dyDescent="0.25">
      <c r="E798" t="s">
        <v>1400</v>
      </c>
      <c r="G798" t="str">
        <f t="shared" si="12"/>
        <v>https://wa.me/905425127759?text=%2A%2A%20%C3%BCr%C3%BCn%C3%BC%20hakk%C4%B1nda%20bilgi%20almak%20istiyorum.</v>
      </c>
    </row>
    <row r="799" spans="5:7" x14ac:dyDescent="0.25">
      <c r="E799" t="s">
        <v>1400</v>
      </c>
      <c r="G799" t="str">
        <f t="shared" si="12"/>
        <v>https://wa.me/905425127759?text=%2A%2A%20%C3%BCr%C3%BCn%C3%BC%20hakk%C4%B1nda%20bilgi%20almak%20istiyorum.</v>
      </c>
    </row>
    <row r="800" spans="5:7" x14ac:dyDescent="0.25">
      <c r="E800" t="s">
        <v>1400</v>
      </c>
      <c r="G800" t="str">
        <f t="shared" si="12"/>
        <v>https://wa.me/905425127759?text=%2A%2A%20%C3%BCr%C3%BCn%C3%BC%20hakk%C4%B1nda%20bilgi%20almak%20istiyorum.</v>
      </c>
    </row>
    <row r="801" spans="5:7" x14ac:dyDescent="0.25">
      <c r="E801" t="s">
        <v>1400</v>
      </c>
      <c r="G801" t="str">
        <f t="shared" si="12"/>
        <v>https://wa.me/905425127759?text=%2A%2A%20%C3%BCr%C3%BCn%C3%BC%20hakk%C4%B1nda%20bilgi%20almak%20istiyorum.</v>
      </c>
    </row>
    <row r="802" spans="5:7" x14ac:dyDescent="0.25">
      <c r="E802" t="s">
        <v>1400</v>
      </c>
      <c r="G802" t="str">
        <f t="shared" si="12"/>
        <v>https://wa.me/905425127759?text=%2A%2A%20%C3%BCr%C3%BCn%C3%BC%20hakk%C4%B1nda%20bilgi%20almak%20istiyorum.</v>
      </c>
    </row>
    <row r="803" spans="5:7" x14ac:dyDescent="0.25">
      <c r="E803" t="s">
        <v>1400</v>
      </c>
      <c r="G803" t="str">
        <f t="shared" si="12"/>
        <v>https://wa.me/905425127759?text=%2A%2A%20%C3%BCr%C3%BCn%C3%BC%20hakk%C4%B1nda%20bilgi%20almak%20istiyorum.</v>
      </c>
    </row>
    <row r="804" spans="5:7" x14ac:dyDescent="0.25">
      <c r="E804" t="s">
        <v>1400</v>
      </c>
      <c r="G804" t="str">
        <f t="shared" si="12"/>
        <v>https://wa.me/905425127759?text=%2A%2A%20%C3%BCr%C3%BCn%C3%BC%20hakk%C4%B1nda%20bilgi%20almak%20istiyorum.</v>
      </c>
    </row>
    <row r="805" spans="5:7" x14ac:dyDescent="0.25">
      <c r="E805" t="s">
        <v>1400</v>
      </c>
      <c r="G805" t="str">
        <f t="shared" si="12"/>
        <v>https://wa.me/905425127759?text=%2A%2A%20%C3%BCr%C3%BCn%C3%BC%20hakk%C4%B1nda%20bilgi%20almak%20istiyorum.</v>
      </c>
    </row>
    <row r="806" spans="5:7" x14ac:dyDescent="0.25">
      <c r="E806" t="s">
        <v>1400</v>
      </c>
      <c r="G806" t="str">
        <f t="shared" si="12"/>
        <v>https://wa.me/905425127759?text=%2A%2A%20%C3%BCr%C3%BCn%C3%BC%20hakk%C4%B1nda%20bilgi%20almak%20istiyorum.</v>
      </c>
    </row>
    <row r="807" spans="5:7" x14ac:dyDescent="0.25">
      <c r="E807" t="s">
        <v>1400</v>
      </c>
      <c r="G807" t="str">
        <f t="shared" si="12"/>
        <v>https://wa.me/905425127759?text=%2A%2A%20%C3%BCr%C3%BCn%C3%BC%20hakk%C4%B1nda%20bilgi%20almak%20istiyorum.</v>
      </c>
    </row>
    <row r="808" spans="5:7" x14ac:dyDescent="0.25">
      <c r="E808" t="s">
        <v>1400</v>
      </c>
      <c r="G808" t="str">
        <f t="shared" si="12"/>
        <v>https://wa.me/905425127759?text=%2A%2A%20%C3%BCr%C3%BCn%C3%BC%20hakk%C4%B1nda%20bilgi%20almak%20istiyorum.</v>
      </c>
    </row>
    <row r="809" spans="5:7" x14ac:dyDescent="0.25">
      <c r="E809" t="s">
        <v>1400</v>
      </c>
      <c r="G809" t="str">
        <f t="shared" si="12"/>
        <v>https://wa.me/905425127759?text=%2A%2A%20%C3%BCr%C3%BCn%C3%BC%20hakk%C4%B1nda%20bilgi%20almak%20istiyorum.</v>
      </c>
    </row>
    <row r="810" spans="5:7" x14ac:dyDescent="0.25">
      <c r="E810" t="s">
        <v>1400</v>
      </c>
      <c r="G810" t="str">
        <f t="shared" si="12"/>
        <v>https://wa.me/905425127759?text=%2A%2A%20%C3%BCr%C3%BCn%C3%BC%20hakk%C4%B1nda%20bilgi%20almak%20istiyorum.</v>
      </c>
    </row>
    <row r="811" spans="5:7" x14ac:dyDescent="0.25">
      <c r="E811" t="s">
        <v>1400</v>
      </c>
      <c r="G811" t="str">
        <f t="shared" si="12"/>
        <v>https://wa.me/905425127759?text=%2A%2A%20%C3%BCr%C3%BCn%C3%BC%20hakk%C4%B1nda%20bilgi%20almak%20istiyorum.</v>
      </c>
    </row>
    <row r="812" spans="5:7" x14ac:dyDescent="0.25">
      <c r="E812" t="s">
        <v>1400</v>
      </c>
      <c r="G812" t="str">
        <f t="shared" si="12"/>
        <v>https://wa.me/905425127759?text=%2A%2A%20%C3%BCr%C3%BCn%C3%BC%20hakk%C4%B1nda%20bilgi%20almak%20istiyorum.</v>
      </c>
    </row>
    <row r="813" spans="5:7" x14ac:dyDescent="0.25">
      <c r="E813" t="s">
        <v>1400</v>
      </c>
      <c r="G813" t="str">
        <f t="shared" si="12"/>
        <v>https://wa.me/905425127759?text=%2A%2A%20%C3%BCr%C3%BCn%C3%BC%20hakk%C4%B1nda%20bilgi%20almak%20istiyorum.</v>
      </c>
    </row>
    <row r="814" spans="5:7" x14ac:dyDescent="0.25">
      <c r="E814" t="s">
        <v>1400</v>
      </c>
      <c r="G814" t="str">
        <f t="shared" si="12"/>
        <v>https://wa.me/905425127759?text=%2A%2A%20%C3%BCr%C3%BCn%C3%BC%20hakk%C4%B1nda%20bilgi%20almak%20istiyorum.</v>
      </c>
    </row>
    <row r="815" spans="5:7" x14ac:dyDescent="0.25">
      <c r="E815" t="s">
        <v>1400</v>
      </c>
      <c r="G815" t="str">
        <f t="shared" si="12"/>
        <v>https://wa.me/905425127759?text=%2A%2A%20%C3%BCr%C3%BCn%C3%BC%20hakk%C4%B1nda%20bilgi%20almak%20istiyorum.</v>
      </c>
    </row>
    <row r="816" spans="5:7" x14ac:dyDescent="0.25">
      <c r="E816" t="s">
        <v>1400</v>
      </c>
      <c r="G816" t="str">
        <f t="shared" si="12"/>
        <v>https://wa.me/905425127759?text=%2A%2A%20%C3%BCr%C3%BCn%C3%BC%20hakk%C4%B1nda%20bilgi%20almak%20istiyorum.</v>
      </c>
    </row>
    <row r="817" spans="5:7" x14ac:dyDescent="0.25">
      <c r="E817" t="s">
        <v>1400</v>
      </c>
      <c r="G817" t="str">
        <f t="shared" si="12"/>
        <v>https://wa.me/905425127759?text=%2A%2A%20%C3%BCr%C3%BCn%C3%BC%20hakk%C4%B1nda%20bilgi%20almak%20istiyorum.</v>
      </c>
    </row>
    <row r="818" spans="5:7" x14ac:dyDescent="0.25">
      <c r="E818" t="s">
        <v>1400</v>
      </c>
      <c r="G818" t="str">
        <f t="shared" si="12"/>
        <v>https://wa.me/905425127759?text=%2A%2A%20%C3%BCr%C3%BCn%C3%BC%20hakk%C4%B1nda%20bilgi%20almak%20istiyorum.</v>
      </c>
    </row>
    <row r="819" spans="5:7" x14ac:dyDescent="0.25">
      <c r="E819" t="s">
        <v>1400</v>
      </c>
      <c r="G819" t="str">
        <f t="shared" si="12"/>
        <v>https://wa.me/905425127759?text=%2A%2A%20%C3%BCr%C3%BCn%C3%BC%20hakk%C4%B1nda%20bilgi%20almak%20istiyorum.</v>
      </c>
    </row>
    <row r="820" spans="5:7" x14ac:dyDescent="0.25">
      <c r="E820" t="s">
        <v>1400</v>
      </c>
      <c r="G820" t="str">
        <f t="shared" si="12"/>
        <v>https://wa.me/905425127759?text=%2A%2A%20%C3%BCr%C3%BCn%C3%BC%20hakk%C4%B1nda%20bilgi%20almak%20istiyorum.</v>
      </c>
    </row>
    <row r="821" spans="5:7" x14ac:dyDescent="0.25">
      <c r="E821" t="s">
        <v>1400</v>
      </c>
      <c r="G821" t="str">
        <f t="shared" si="12"/>
        <v>https://wa.me/905425127759?text=%2A%2A%20%C3%BCr%C3%BCn%C3%BC%20hakk%C4%B1nda%20bilgi%20almak%20istiyorum.</v>
      </c>
    </row>
    <row r="822" spans="5:7" x14ac:dyDescent="0.25">
      <c r="E822" t="s">
        <v>1400</v>
      </c>
      <c r="G822" t="str">
        <f t="shared" si="12"/>
        <v>https://wa.me/905425127759?text=%2A%2A%20%C3%BCr%C3%BCn%C3%BC%20hakk%C4%B1nda%20bilgi%20almak%20istiyorum.</v>
      </c>
    </row>
    <row r="823" spans="5:7" x14ac:dyDescent="0.25">
      <c r="E823" t="s">
        <v>1400</v>
      </c>
      <c r="G823" t="str">
        <f t="shared" si="12"/>
        <v>https://wa.me/905425127759?text=%2A%2A%20%C3%BCr%C3%BCn%C3%BC%20hakk%C4%B1nda%20bilgi%20almak%20istiyorum.</v>
      </c>
    </row>
    <row r="824" spans="5:7" x14ac:dyDescent="0.25">
      <c r="E824" t="s">
        <v>1400</v>
      </c>
      <c r="G824" t="str">
        <f t="shared" si="12"/>
        <v>https://wa.me/905425127759?text=%2A%2A%20%C3%BCr%C3%BCn%C3%BC%20hakk%C4%B1nda%20bilgi%20almak%20istiyorum.</v>
      </c>
    </row>
    <row r="825" spans="5:7" x14ac:dyDescent="0.25">
      <c r="E825" t="s">
        <v>1400</v>
      </c>
      <c r="G825" t="str">
        <f t="shared" si="12"/>
        <v>https://wa.me/905425127759?text=%2A%2A%20%C3%BCr%C3%BCn%C3%BC%20hakk%C4%B1nda%20bilgi%20almak%20istiyorum.</v>
      </c>
    </row>
    <row r="826" spans="5:7" x14ac:dyDescent="0.25">
      <c r="E826" t="s">
        <v>1400</v>
      </c>
      <c r="G826" t="str">
        <f t="shared" si="12"/>
        <v>https://wa.me/905425127759?text=%2A%2A%20%C3%BCr%C3%BCn%C3%BC%20hakk%C4%B1nda%20bilgi%20almak%20istiyorum.</v>
      </c>
    </row>
    <row r="827" spans="5:7" x14ac:dyDescent="0.25">
      <c r="E827" t="s">
        <v>1400</v>
      </c>
      <c r="G827" t="str">
        <f t="shared" si="12"/>
        <v>https://wa.me/905425127759?text=%2A%2A%20%C3%BCr%C3%BCn%C3%BC%20hakk%C4%B1nda%20bilgi%20almak%20istiyorum.</v>
      </c>
    </row>
    <row r="828" spans="5:7" x14ac:dyDescent="0.25">
      <c r="E828" t="s">
        <v>1400</v>
      </c>
      <c r="G828" t="str">
        <f t="shared" si="12"/>
        <v>https://wa.me/905425127759?text=%2A%2A%20%C3%BCr%C3%BCn%C3%BC%20hakk%C4%B1nda%20bilgi%20almak%20istiyorum.</v>
      </c>
    </row>
    <row r="829" spans="5:7" x14ac:dyDescent="0.25">
      <c r="E829" t="s">
        <v>1400</v>
      </c>
      <c r="G829" t="str">
        <f t="shared" si="12"/>
        <v>https://wa.me/905425127759?text=%2A%2A%20%C3%BCr%C3%BCn%C3%BC%20hakk%C4%B1nda%20bilgi%20almak%20istiyorum.</v>
      </c>
    </row>
    <row r="830" spans="5:7" x14ac:dyDescent="0.25">
      <c r="E830" t="s">
        <v>1400</v>
      </c>
      <c r="G830" t="str">
        <f t="shared" si="12"/>
        <v>https://wa.me/905425127759?text=%2A%2A%20%C3%BCr%C3%BCn%C3%BC%20hakk%C4%B1nda%20bilgi%20almak%20istiyorum.</v>
      </c>
    </row>
    <row r="831" spans="5:7" x14ac:dyDescent="0.25">
      <c r="E831" t="s">
        <v>1400</v>
      </c>
      <c r="G831" t="str">
        <f t="shared" si="12"/>
        <v>https://wa.me/905425127759?text=%2A%2A%20%C3%BCr%C3%BCn%C3%BC%20hakk%C4%B1nda%20bilgi%20almak%20istiyorum.</v>
      </c>
    </row>
    <row r="832" spans="5:7" x14ac:dyDescent="0.25">
      <c r="E832" t="s">
        <v>1400</v>
      </c>
      <c r="G832" t="str">
        <f t="shared" si="12"/>
        <v>https://wa.me/905425127759?text=%2A%2A%20%C3%BCr%C3%BCn%C3%BC%20hakk%C4%B1nda%20bilgi%20almak%20istiyorum.</v>
      </c>
    </row>
    <row r="833" spans="5:7" x14ac:dyDescent="0.25">
      <c r="E833" t="s">
        <v>1400</v>
      </c>
      <c r="G833" t="str">
        <f t="shared" ref="G833:G882" si="13">"https://wa.me/905425127759?text=" &amp; _xlfn.ENCODEURL("*" &amp; A833 &amp; "* ürünü hakkında bilgi almak istiyorum.")</f>
        <v>https://wa.me/905425127759?text=%2A%2A%20%C3%BCr%C3%BCn%C3%BC%20hakk%C4%B1nda%20bilgi%20almak%20istiyorum.</v>
      </c>
    </row>
    <row r="834" spans="5:7" x14ac:dyDescent="0.25">
      <c r="E834" t="s">
        <v>1400</v>
      </c>
      <c r="G834" t="str">
        <f t="shared" si="13"/>
        <v>https://wa.me/905425127759?text=%2A%2A%20%C3%BCr%C3%BCn%C3%BC%20hakk%C4%B1nda%20bilgi%20almak%20istiyorum.</v>
      </c>
    </row>
    <row r="835" spans="5:7" x14ac:dyDescent="0.25">
      <c r="E835" t="s">
        <v>1400</v>
      </c>
      <c r="G835" t="str">
        <f t="shared" si="13"/>
        <v>https://wa.me/905425127759?text=%2A%2A%20%C3%BCr%C3%BCn%C3%BC%20hakk%C4%B1nda%20bilgi%20almak%20istiyorum.</v>
      </c>
    </row>
    <row r="836" spans="5:7" x14ac:dyDescent="0.25">
      <c r="E836" t="s">
        <v>1400</v>
      </c>
      <c r="G836" t="str">
        <f t="shared" si="13"/>
        <v>https://wa.me/905425127759?text=%2A%2A%20%C3%BCr%C3%BCn%C3%BC%20hakk%C4%B1nda%20bilgi%20almak%20istiyorum.</v>
      </c>
    </row>
    <row r="837" spans="5:7" x14ac:dyDescent="0.25">
      <c r="E837" t="s">
        <v>1400</v>
      </c>
      <c r="G837" t="str">
        <f t="shared" si="13"/>
        <v>https://wa.me/905425127759?text=%2A%2A%20%C3%BCr%C3%BCn%C3%BC%20hakk%C4%B1nda%20bilgi%20almak%20istiyorum.</v>
      </c>
    </row>
    <row r="838" spans="5:7" x14ac:dyDescent="0.25">
      <c r="E838" t="s">
        <v>1400</v>
      </c>
      <c r="G838" t="str">
        <f t="shared" si="13"/>
        <v>https://wa.me/905425127759?text=%2A%2A%20%C3%BCr%C3%BCn%C3%BC%20hakk%C4%B1nda%20bilgi%20almak%20istiyorum.</v>
      </c>
    </row>
    <row r="839" spans="5:7" x14ac:dyDescent="0.25">
      <c r="E839" t="s">
        <v>1400</v>
      </c>
      <c r="G839" t="str">
        <f t="shared" si="13"/>
        <v>https://wa.me/905425127759?text=%2A%2A%20%C3%BCr%C3%BCn%C3%BC%20hakk%C4%B1nda%20bilgi%20almak%20istiyorum.</v>
      </c>
    </row>
    <row r="840" spans="5:7" x14ac:dyDescent="0.25">
      <c r="E840" t="s">
        <v>1400</v>
      </c>
      <c r="G840" t="str">
        <f t="shared" si="13"/>
        <v>https://wa.me/905425127759?text=%2A%2A%20%C3%BCr%C3%BCn%C3%BC%20hakk%C4%B1nda%20bilgi%20almak%20istiyorum.</v>
      </c>
    </row>
    <row r="841" spans="5:7" x14ac:dyDescent="0.25">
      <c r="E841" t="s">
        <v>1400</v>
      </c>
      <c r="G841" t="str">
        <f t="shared" si="13"/>
        <v>https://wa.me/905425127759?text=%2A%2A%20%C3%BCr%C3%BCn%C3%BC%20hakk%C4%B1nda%20bilgi%20almak%20istiyorum.</v>
      </c>
    </row>
    <row r="842" spans="5:7" x14ac:dyDescent="0.25">
      <c r="E842" t="s">
        <v>1400</v>
      </c>
      <c r="G842" t="str">
        <f t="shared" si="13"/>
        <v>https://wa.me/905425127759?text=%2A%2A%20%C3%BCr%C3%BCn%C3%BC%20hakk%C4%B1nda%20bilgi%20almak%20istiyorum.</v>
      </c>
    </row>
    <row r="843" spans="5:7" x14ac:dyDescent="0.25">
      <c r="E843" t="s">
        <v>1400</v>
      </c>
      <c r="G843" t="str">
        <f t="shared" si="13"/>
        <v>https://wa.me/905425127759?text=%2A%2A%20%C3%BCr%C3%BCn%C3%BC%20hakk%C4%B1nda%20bilgi%20almak%20istiyorum.</v>
      </c>
    </row>
    <row r="844" spans="5:7" x14ac:dyDescent="0.25">
      <c r="E844" t="s">
        <v>1400</v>
      </c>
      <c r="G844" t="str">
        <f t="shared" si="13"/>
        <v>https://wa.me/905425127759?text=%2A%2A%20%C3%BCr%C3%BCn%C3%BC%20hakk%C4%B1nda%20bilgi%20almak%20istiyorum.</v>
      </c>
    </row>
    <row r="845" spans="5:7" x14ac:dyDescent="0.25">
      <c r="E845" t="s">
        <v>1400</v>
      </c>
      <c r="G845" t="str">
        <f t="shared" si="13"/>
        <v>https://wa.me/905425127759?text=%2A%2A%20%C3%BCr%C3%BCn%C3%BC%20hakk%C4%B1nda%20bilgi%20almak%20istiyorum.</v>
      </c>
    </row>
    <row r="846" spans="5:7" x14ac:dyDescent="0.25">
      <c r="E846" t="s">
        <v>1400</v>
      </c>
      <c r="G846" t="str">
        <f t="shared" si="13"/>
        <v>https://wa.me/905425127759?text=%2A%2A%20%C3%BCr%C3%BCn%C3%BC%20hakk%C4%B1nda%20bilgi%20almak%20istiyorum.</v>
      </c>
    </row>
    <row r="847" spans="5:7" x14ac:dyDescent="0.25">
      <c r="E847" t="s">
        <v>1400</v>
      </c>
      <c r="G847" t="str">
        <f t="shared" si="13"/>
        <v>https://wa.me/905425127759?text=%2A%2A%20%C3%BCr%C3%BCn%C3%BC%20hakk%C4%B1nda%20bilgi%20almak%20istiyorum.</v>
      </c>
    </row>
    <row r="848" spans="5:7" x14ac:dyDescent="0.25">
      <c r="E848" t="s">
        <v>1400</v>
      </c>
      <c r="G848" t="str">
        <f t="shared" si="13"/>
        <v>https://wa.me/905425127759?text=%2A%2A%20%C3%BCr%C3%BCn%C3%BC%20hakk%C4%B1nda%20bilgi%20almak%20istiyorum.</v>
      </c>
    </row>
    <row r="849" spans="5:7" x14ac:dyDescent="0.25">
      <c r="E849" t="s">
        <v>1400</v>
      </c>
      <c r="G849" t="str">
        <f t="shared" si="13"/>
        <v>https://wa.me/905425127759?text=%2A%2A%20%C3%BCr%C3%BCn%C3%BC%20hakk%C4%B1nda%20bilgi%20almak%20istiyorum.</v>
      </c>
    </row>
    <row r="850" spans="5:7" x14ac:dyDescent="0.25">
      <c r="E850" t="s">
        <v>1400</v>
      </c>
      <c r="G850" t="str">
        <f t="shared" si="13"/>
        <v>https://wa.me/905425127759?text=%2A%2A%20%C3%BCr%C3%BCn%C3%BC%20hakk%C4%B1nda%20bilgi%20almak%20istiyorum.</v>
      </c>
    </row>
    <row r="851" spans="5:7" x14ac:dyDescent="0.25">
      <c r="E851" t="s">
        <v>1400</v>
      </c>
      <c r="G851" t="str">
        <f t="shared" si="13"/>
        <v>https://wa.me/905425127759?text=%2A%2A%20%C3%BCr%C3%BCn%C3%BC%20hakk%C4%B1nda%20bilgi%20almak%20istiyorum.</v>
      </c>
    </row>
    <row r="852" spans="5:7" x14ac:dyDescent="0.25">
      <c r="E852" t="s">
        <v>1400</v>
      </c>
      <c r="G852" t="str">
        <f t="shared" si="13"/>
        <v>https://wa.me/905425127759?text=%2A%2A%20%C3%BCr%C3%BCn%C3%BC%20hakk%C4%B1nda%20bilgi%20almak%20istiyorum.</v>
      </c>
    </row>
    <row r="853" spans="5:7" x14ac:dyDescent="0.25">
      <c r="E853" t="s">
        <v>1400</v>
      </c>
      <c r="G853" t="str">
        <f t="shared" si="13"/>
        <v>https://wa.me/905425127759?text=%2A%2A%20%C3%BCr%C3%BCn%C3%BC%20hakk%C4%B1nda%20bilgi%20almak%20istiyorum.</v>
      </c>
    </row>
    <row r="854" spans="5:7" x14ac:dyDescent="0.25">
      <c r="E854" t="s">
        <v>1400</v>
      </c>
      <c r="G854" t="str">
        <f t="shared" si="13"/>
        <v>https://wa.me/905425127759?text=%2A%2A%20%C3%BCr%C3%BCn%C3%BC%20hakk%C4%B1nda%20bilgi%20almak%20istiyorum.</v>
      </c>
    </row>
    <row r="855" spans="5:7" x14ac:dyDescent="0.25">
      <c r="E855" t="s">
        <v>1400</v>
      </c>
      <c r="G855" t="str">
        <f t="shared" si="13"/>
        <v>https://wa.me/905425127759?text=%2A%2A%20%C3%BCr%C3%BCn%C3%BC%20hakk%C4%B1nda%20bilgi%20almak%20istiyorum.</v>
      </c>
    </row>
    <row r="856" spans="5:7" x14ac:dyDescent="0.25">
      <c r="E856" t="s">
        <v>1400</v>
      </c>
      <c r="G856" t="str">
        <f t="shared" si="13"/>
        <v>https://wa.me/905425127759?text=%2A%2A%20%C3%BCr%C3%BCn%C3%BC%20hakk%C4%B1nda%20bilgi%20almak%20istiyorum.</v>
      </c>
    </row>
    <row r="857" spans="5:7" x14ac:dyDescent="0.25">
      <c r="E857" t="s">
        <v>1400</v>
      </c>
      <c r="G857" t="str">
        <f t="shared" si="13"/>
        <v>https://wa.me/905425127759?text=%2A%2A%20%C3%BCr%C3%BCn%C3%BC%20hakk%C4%B1nda%20bilgi%20almak%20istiyorum.</v>
      </c>
    </row>
    <row r="858" spans="5:7" x14ac:dyDescent="0.25">
      <c r="E858" t="s">
        <v>1400</v>
      </c>
      <c r="G858" t="str">
        <f t="shared" si="13"/>
        <v>https://wa.me/905425127759?text=%2A%2A%20%C3%BCr%C3%BCn%C3%BC%20hakk%C4%B1nda%20bilgi%20almak%20istiyorum.</v>
      </c>
    </row>
    <row r="859" spans="5:7" x14ac:dyDescent="0.25">
      <c r="E859" t="s">
        <v>1400</v>
      </c>
      <c r="G859" t="str">
        <f t="shared" si="13"/>
        <v>https://wa.me/905425127759?text=%2A%2A%20%C3%BCr%C3%BCn%C3%BC%20hakk%C4%B1nda%20bilgi%20almak%20istiyorum.</v>
      </c>
    </row>
    <row r="860" spans="5:7" x14ac:dyDescent="0.25">
      <c r="E860" t="s">
        <v>1400</v>
      </c>
      <c r="G860" t="str">
        <f t="shared" si="13"/>
        <v>https://wa.me/905425127759?text=%2A%2A%20%C3%BCr%C3%BCn%C3%BC%20hakk%C4%B1nda%20bilgi%20almak%20istiyorum.</v>
      </c>
    </row>
    <row r="861" spans="5:7" x14ac:dyDescent="0.25">
      <c r="E861" t="s">
        <v>1400</v>
      </c>
      <c r="G861" t="str">
        <f t="shared" si="13"/>
        <v>https://wa.me/905425127759?text=%2A%2A%20%C3%BCr%C3%BCn%C3%BC%20hakk%C4%B1nda%20bilgi%20almak%20istiyorum.</v>
      </c>
    </row>
    <row r="862" spans="5:7" x14ac:dyDescent="0.25">
      <c r="E862" t="s">
        <v>1400</v>
      </c>
      <c r="G862" t="str">
        <f t="shared" si="13"/>
        <v>https://wa.me/905425127759?text=%2A%2A%20%C3%BCr%C3%BCn%C3%BC%20hakk%C4%B1nda%20bilgi%20almak%20istiyorum.</v>
      </c>
    </row>
    <row r="863" spans="5:7" x14ac:dyDescent="0.25">
      <c r="E863" t="s">
        <v>1400</v>
      </c>
      <c r="G863" t="str">
        <f t="shared" si="13"/>
        <v>https://wa.me/905425127759?text=%2A%2A%20%C3%BCr%C3%BCn%C3%BC%20hakk%C4%B1nda%20bilgi%20almak%20istiyorum.</v>
      </c>
    </row>
    <row r="864" spans="5:7" x14ac:dyDescent="0.25">
      <c r="E864" t="s">
        <v>1400</v>
      </c>
      <c r="G864" t="str">
        <f t="shared" si="13"/>
        <v>https://wa.me/905425127759?text=%2A%2A%20%C3%BCr%C3%BCn%C3%BC%20hakk%C4%B1nda%20bilgi%20almak%20istiyorum.</v>
      </c>
    </row>
    <row r="865" spans="5:7" x14ac:dyDescent="0.25">
      <c r="E865" t="s">
        <v>1400</v>
      </c>
      <c r="G865" t="str">
        <f t="shared" si="13"/>
        <v>https://wa.me/905425127759?text=%2A%2A%20%C3%BCr%C3%BCn%C3%BC%20hakk%C4%B1nda%20bilgi%20almak%20istiyorum.</v>
      </c>
    </row>
    <row r="866" spans="5:7" x14ac:dyDescent="0.25">
      <c r="E866" t="s">
        <v>1400</v>
      </c>
      <c r="G866" t="str">
        <f t="shared" si="13"/>
        <v>https://wa.me/905425127759?text=%2A%2A%20%C3%BCr%C3%BCn%C3%BC%20hakk%C4%B1nda%20bilgi%20almak%20istiyorum.</v>
      </c>
    </row>
    <row r="867" spans="5:7" x14ac:dyDescent="0.25">
      <c r="E867" t="s">
        <v>1400</v>
      </c>
      <c r="G867" t="str">
        <f t="shared" si="13"/>
        <v>https://wa.me/905425127759?text=%2A%2A%20%C3%BCr%C3%BCn%C3%BC%20hakk%C4%B1nda%20bilgi%20almak%20istiyorum.</v>
      </c>
    </row>
    <row r="868" spans="5:7" x14ac:dyDescent="0.25">
      <c r="E868" t="s">
        <v>1400</v>
      </c>
      <c r="G868" t="str">
        <f t="shared" si="13"/>
        <v>https://wa.me/905425127759?text=%2A%2A%20%C3%BCr%C3%BCn%C3%BC%20hakk%C4%B1nda%20bilgi%20almak%20istiyorum.</v>
      </c>
    </row>
    <row r="869" spans="5:7" x14ac:dyDescent="0.25">
      <c r="E869" t="s">
        <v>1400</v>
      </c>
      <c r="G869" t="str">
        <f t="shared" si="13"/>
        <v>https://wa.me/905425127759?text=%2A%2A%20%C3%BCr%C3%BCn%C3%BC%20hakk%C4%B1nda%20bilgi%20almak%20istiyorum.</v>
      </c>
    </row>
    <row r="870" spans="5:7" x14ac:dyDescent="0.25">
      <c r="E870" t="s">
        <v>1400</v>
      </c>
      <c r="G870" t="str">
        <f t="shared" si="13"/>
        <v>https://wa.me/905425127759?text=%2A%2A%20%C3%BCr%C3%BCn%C3%BC%20hakk%C4%B1nda%20bilgi%20almak%20istiyorum.</v>
      </c>
    </row>
    <row r="871" spans="5:7" x14ac:dyDescent="0.25">
      <c r="E871" t="s">
        <v>1400</v>
      </c>
      <c r="G871" t="str">
        <f t="shared" si="13"/>
        <v>https://wa.me/905425127759?text=%2A%2A%20%C3%BCr%C3%BCn%C3%BC%20hakk%C4%B1nda%20bilgi%20almak%20istiyorum.</v>
      </c>
    </row>
    <row r="872" spans="5:7" x14ac:dyDescent="0.25">
      <c r="E872" t="s">
        <v>1400</v>
      </c>
      <c r="G872" t="str">
        <f t="shared" si="13"/>
        <v>https://wa.me/905425127759?text=%2A%2A%20%C3%BCr%C3%BCn%C3%BC%20hakk%C4%B1nda%20bilgi%20almak%20istiyorum.</v>
      </c>
    </row>
    <row r="873" spans="5:7" x14ac:dyDescent="0.25">
      <c r="E873" t="s">
        <v>1400</v>
      </c>
      <c r="G873" t="str">
        <f t="shared" si="13"/>
        <v>https://wa.me/905425127759?text=%2A%2A%20%C3%BCr%C3%BCn%C3%BC%20hakk%C4%B1nda%20bilgi%20almak%20istiyorum.</v>
      </c>
    </row>
    <row r="874" spans="5:7" x14ac:dyDescent="0.25">
      <c r="E874" t="s">
        <v>1400</v>
      </c>
      <c r="G874" t="str">
        <f t="shared" si="13"/>
        <v>https://wa.me/905425127759?text=%2A%2A%20%C3%BCr%C3%BCn%C3%BC%20hakk%C4%B1nda%20bilgi%20almak%20istiyorum.</v>
      </c>
    </row>
    <row r="875" spans="5:7" x14ac:dyDescent="0.25">
      <c r="E875" t="s">
        <v>1400</v>
      </c>
      <c r="G875" t="str">
        <f t="shared" si="13"/>
        <v>https://wa.me/905425127759?text=%2A%2A%20%C3%BCr%C3%BCn%C3%BC%20hakk%C4%B1nda%20bilgi%20almak%20istiyorum.</v>
      </c>
    </row>
    <row r="876" spans="5:7" x14ac:dyDescent="0.25">
      <c r="E876" t="s">
        <v>1400</v>
      </c>
      <c r="G876" t="str">
        <f t="shared" si="13"/>
        <v>https://wa.me/905425127759?text=%2A%2A%20%C3%BCr%C3%BCn%C3%BC%20hakk%C4%B1nda%20bilgi%20almak%20istiyorum.</v>
      </c>
    </row>
    <row r="877" spans="5:7" x14ac:dyDescent="0.25">
      <c r="E877" t="s">
        <v>1400</v>
      </c>
      <c r="G877" t="str">
        <f t="shared" si="13"/>
        <v>https://wa.me/905425127759?text=%2A%2A%20%C3%BCr%C3%BCn%C3%BC%20hakk%C4%B1nda%20bilgi%20almak%20istiyorum.</v>
      </c>
    </row>
    <row r="878" spans="5:7" x14ac:dyDescent="0.25">
      <c r="E878" t="s">
        <v>1400</v>
      </c>
      <c r="G878" t="str">
        <f t="shared" si="13"/>
        <v>https://wa.me/905425127759?text=%2A%2A%20%C3%BCr%C3%BCn%C3%BC%20hakk%C4%B1nda%20bilgi%20almak%20istiyorum.</v>
      </c>
    </row>
    <row r="879" spans="5:7" x14ac:dyDescent="0.25">
      <c r="E879" t="s">
        <v>1400</v>
      </c>
      <c r="G879" t="str">
        <f t="shared" si="13"/>
        <v>https://wa.me/905425127759?text=%2A%2A%20%C3%BCr%C3%BCn%C3%BC%20hakk%C4%B1nda%20bilgi%20almak%20istiyorum.</v>
      </c>
    </row>
    <row r="880" spans="5:7" x14ac:dyDescent="0.25">
      <c r="E880" t="s">
        <v>1400</v>
      </c>
      <c r="G880" t="str">
        <f t="shared" si="13"/>
        <v>https://wa.me/905425127759?text=%2A%2A%20%C3%BCr%C3%BCn%C3%BC%20hakk%C4%B1nda%20bilgi%20almak%20istiyorum.</v>
      </c>
    </row>
    <row r="881" spans="5:7" x14ac:dyDescent="0.25">
      <c r="E881" t="s">
        <v>1400</v>
      </c>
      <c r="G881" t="str">
        <f t="shared" si="13"/>
        <v>https://wa.me/905425127759?text=%2A%2A%20%C3%BCr%C3%BCn%C3%BC%20hakk%C4%B1nda%20bilgi%20almak%20istiyorum.</v>
      </c>
    </row>
    <row r="882" spans="5:7" x14ac:dyDescent="0.25">
      <c r="E882" t="s">
        <v>1400</v>
      </c>
      <c r="G882" t="str">
        <f t="shared" si="13"/>
        <v>https://wa.me/905425127759?text=%2A%2A%20%C3%BCr%C3%BCn%C3%BC%20hakk%C4%B1nda%20bilgi%20almak%20istiyorum.</v>
      </c>
    </row>
  </sheetData>
  <sortState xmlns:xlrd2="http://schemas.microsoft.com/office/spreadsheetml/2017/richdata2" ref="A1:D784">
    <sortCondition ref="D1:D784"/>
    <sortCondition ref="A1:A78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F0448-759A-4161-B8AA-57F8907FB31D}">
  <sheetPr codeName="Sayfa2"/>
  <dimension ref="A1:T882"/>
  <sheetViews>
    <sheetView topLeftCell="A577" workbookViewId="0">
      <selection activeCell="P601" sqref="P601"/>
    </sheetView>
  </sheetViews>
  <sheetFormatPr defaultRowHeight="15" x14ac:dyDescent="0.25"/>
  <cols>
    <col min="2" max="2" width="5" customWidth="1"/>
    <col min="4" max="4" width="36.28515625" customWidth="1"/>
    <col min="6" max="12" width="2.5703125" customWidth="1"/>
    <col min="13" max="13" width="4.42578125" bestFit="1" customWidth="1"/>
    <col min="14" max="14" width="40.7109375" customWidth="1"/>
    <col min="16" max="16" width="50.85546875" customWidth="1"/>
    <col min="17" max="17" width="13.140625" style="1" customWidth="1"/>
    <col min="18" max="18" width="3.28515625" customWidth="1"/>
    <col min="19" max="19" width="25.28515625" bestFit="1" customWidth="1"/>
    <col min="20" max="20" width="3.28515625" customWidth="1"/>
  </cols>
  <sheetData>
    <row r="1" spans="1:20" x14ac:dyDescent="0.25">
      <c r="A1" t="s">
        <v>2518</v>
      </c>
      <c r="B1" t="s">
        <v>1401</v>
      </c>
      <c r="C1" t="s">
        <v>1402</v>
      </c>
      <c r="D1" t="s">
        <v>1403</v>
      </c>
      <c r="E1" t="s">
        <v>1404</v>
      </c>
      <c r="F1" t="s">
        <v>1405</v>
      </c>
      <c r="G1" t="s">
        <v>1406</v>
      </c>
      <c r="H1" t="s">
        <v>1407</v>
      </c>
      <c r="I1" t="s">
        <v>1408</v>
      </c>
      <c r="J1" t="s">
        <v>1409</v>
      </c>
      <c r="K1" t="s">
        <v>1410</v>
      </c>
    </row>
    <row r="2" spans="1:20" x14ac:dyDescent="0.25">
      <c r="A2" t="s">
        <v>1411</v>
      </c>
      <c r="B2" t="s">
        <v>1412</v>
      </c>
      <c r="C2" t="s">
        <v>1413</v>
      </c>
      <c r="D2" t="s">
        <v>1414</v>
      </c>
      <c r="E2" t="s">
        <v>1415</v>
      </c>
      <c r="F2" t="s">
        <v>1416</v>
      </c>
      <c r="G2" t="s">
        <v>1417</v>
      </c>
      <c r="H2" t="s">
        <v>1418</v>
      </c>
      <c r="I2" t="s">
        <v>1419</v>
      </c>
      <c r="J2" t="s">
        <v>1420</v>
      </c>
      <c r="K2" t="s">
        <v>1421</v>
      </c>
    </row>
    <row r="3" spans="1:20" x14ac:dyDescent="0.25">
      <c r="A3" t="s">
        <v>1422</v>
      </c>
      <c r="B3">
        <v>56</v>
      </c>
      <c r="C3" t="s">
        <v>2195</v>
      </c>
      <c r="D3" t="s">
        <v>2196</v>
      </c>
      <c r="E3">
        <v>1750</v>
      </c>
      <c r="F3" t="s">
        <v>0</v>
      </c>
      <c r="G3" t="s">
        <v>1525</v>
      </c>
      <c r="H3" t="s">
        <v>1425</v>
      </c>
      <c r="I3" t="s">
        <v>1426</v>
      </c>
      <c r="J3" t="s">
        <v>1426</v>
      </c>
      <c r="M3" s="2">
        <v>420</v>
      </c>
      <c r="N3" s="3" t="s">
        <v>1427</v>
      </c>
      <c r="O3">
        <v>56</v>
      </c>
      <c r="P3" t="str">
        <f>IFERROR(VLOOKUP(O3,$M:$N,2,0), VLOOKUP(O3,$B:$D,3,0))</f>
        <v>FIRIN AKEL AF007-AF010 YUVARLAK</v>
      </c>
      <c r="Q3" s="1">
        <f>VLOOKUP(O3,$B:$E,4,0)*2</f>
        <v>3500</v>
      </c>
      <c r="R3" t="str">
        <f>VLOOKUP(O3,$B:$F,5,0)</f>
        <v>TL</v>
      </c>
      <c r="S3" t="str">
        <f>VLOOKUP(O3,$B:$G,6,0)</f>
        <v>KEA</v>
      </c>
      <c r="T3" t="str">
        <f t="shared" ref="T3:T66" si="0">IF(S3="KEA","kea",IF(S3="MOBİLYA","mobilya",IF(S3="TÜP","tup",IF(S3="MASA-SAND-SEHPA-ZİGON","mssz",IF(S3="ENDÜSTRİYEL","endustriyel",IF(S3="YEDEK PARÇA","diger",""))))))</f>
        <v>kea</v>
      </c>
    </row>
    <row r="4" spans="1:20" x14ac:dyDescent="0.25">
      <c r="A4" t="s">
        <v>1422</v>
      </c>
      <c r="B4">
        <v>57</v>
      </c>
      <c r="C4" t="s">
        <v>2194</v>
      </c>
      <c r="D4" t="s">
        <v>1</v>
      </c>
      <c r="E4">
        <v>2000</v>
      </c>
      <c r="F4" t="s">
        <v>0</v>
      </c>
      <c r="G4" t="s">
        <v>1525</v>
      </c>
      <c r="H4" t="s">
        <v>1425</v>
      </c>
      <c r="I4" t="s">
        <v>1426</v>
      </c>
      <c r="J4" t="s">
        <v>1426</v>
      </c>
      <c r="M4" s="2">
        <v>425</v>
      </c>
      <c r="N4" s="3" t="s">
        <v>1429</v>
      </c>
      <c r="O4">
        <v>57</v>
      </c>
      <c r="P4" t="str">
        <f t="shared" ref="P4:P67" si="1">IFERROR(VLOOKUP(O4,$M:$N,2,0), VLOOKUP(O4,$B:$D,3,0))</f>
        <v>FIRIN AKEL AF007B YUVARLAK BÜYÜK</v>
      </c>
      <c r="Q4" s="1">
        <f t="shared" ref="Q4:Q67" si="2">VLOOKUP(O4,$B:$E,4,0)*2</f>
        <v>4000</v>
      </c>
      <c r="R4" t="str">
        <f t="shared" ref="R4:R67" si="3">VLOOKUP(O4,$B:$F,5,0)</f>
        <v>TL</v>
      </c>
      <c r="S4" t="str">
        <f t="shared" ref="S4:S67" si="4">VLOOKUP(O4,$B:$G,6,0)</f>
        <v>KEA</v>
      </c>
      <c r="T4" t="str">
        <f t="shared" si="0"/>
        <v>kea</v>
      </c>
    </row>
    <row r="5" spans="1:20" x14ac:dyDescent="0.25">
      <c r="A5" t="s">
        <v>1422</v>
      </c>
      <c r="B5">
        <v>58</v>
      </c>
      <c r="C5" t="s">
        <v>2193</v>
      </c>
      <c r="D5" t="s">
        <v>2</v>
      </c>
      <c r="E5">
        <v>1750</v>
      </c>
      <c r="F5" t="s">
        <v>0</v>
      </c>
      <c r="G5" t="s">
        <v>1525</v>
      </c>
      <c r="H5" t="s">
        <v>1425</v>
      </c>
      <c r="I5" t="s">
        <v>1426</v>
      </c>
      <c r="J5" t="s">
        <v>1426</v>
      </c>
      <c r="M5" s="2">
        <v>431</v>
      </c>
      <c r="N5" s="3" t="s">
        <v>1431</v>
      </c>
      <c r="O5">
        <v>58</v>
      </c>
      <c r="P5" t="str">
        <f t="shared" si="1"/>
        <v>FIRIN AKEL AF010 YUVARLAK</v>
      </c>
      <c r="Q5" s="1">
        <f t="shared" si="2"/>
        <v>3500</v>
      </c>
      <c r="R5" t="str">
        <f t="shared" si="3"/>
        <v>TL</v>
      </c>
      <c r="S5" t="str">
        <f t="shared" si="4"/>
        <v>KEA</v>
      </c>
      <c r="T5" t="str">
        <f t="shared" si="0"/>
        <v>kea</v>
      </c>
    </row>
    <row r="6" spans="1:20" x14ac:dyDescent="0.25">
      <c r="A6" t="s">
        <v>1422</v>
      </c>
      <c r="B6">
        <v>59</v>
      </c>
      <c r="C6" t="s">
        <v>2192</v>
      </c>
      <c r="D6" t="s">
        <v>3</v>
      </c>
      <c r="E6">
        <v>2000</v>
      </c>
      <c r="F6" t="s">
        <v>0</v>
      </c>
      <c r="G6" t="s">
        <v>1525</v>
      </c>
      <c r="H6" t="s">
        <v>1425</v>
      </c>
      <c r="I6" t="s">
        <v>1426</v>
      </c>
      <c r="J6" t="s">
        <v>1426</v>
      </c>
      <c r="M6" s="3">
        <v>456</v>
      </c>
      <c r="N6" s="3" t="s">
        <v>1433</v>
      </c>
      <c r="O6">
        <v>59</v>
      </c>
      <c r="P6" t="str">
        <f t="shared" si="1"/>
        <v>FIRIN AKEL AF140 DÖNERLİ</v>
      </c>
      <c r="Q6" s="1">
        <f t="shared" si="2"/>
        <v>4000</v>
      </c>
      <c r="R6" t="str">
        <f t="shared" si="3"/>
        <v>TL</v>
      </c>
      <c r="S6" t="str">
        <f t="shared" si="4"/>
        <v>KEA</v>
      </c>
      <c r="T6" t="str">
        <f t="shared" si="0"/>
        <v>kea</v>
      </c>
    </row>
    <row r="7" spans="1:20" x14ac:dyDescent="0.25">
      <c r="A7" t="s">
        <v>1422</v>
      </c>
      <c r="B7">
        <v>60</v>
      </c>
      <c r="C7" t="s">
        <v>1619</v>
      </c>
      <c r="D7" t="s">
        <v>4</v>
      </c>
      <c r="E7">
        <v>0</v>
      </c>
      <c r="F7" t="s">
        <v>0</v>
      </c>
      <c r="G7" t="s">
        <v>1525</v>
      </c>
      <c r="H7" t="s">
        <v>1425</v>
      </c>
      <c r="I7" t="s">
        <v>1426</v>
      </c>
      <c r="J7" t="s">
        <v>1426</v>
      </c>
      <c r="M7" s="2">
        <v>457</v>
      </c>
      <c r="N7" s="3" t="s">
        <v>2577</v>
      </c>
      <c r="O7">
        <v>60</v>
      </c>
      <c r="P7" t="str">
        <f t="shared" si="1"/>
        <v>TOST MAKİNESİ AKSU GRANİT GRİLL</v>
      </c>
      <c r="Q7" s="1">
        <f t="shared" si="2"/>
        <v>0</v>
      </c>
      <c r="R7" t="str">
        <f t="shared" si="3"/>
        <v>TL</v>
      </c>
      <c r="S7" t="str">
        <f t="shared" si="4"/>
        <v>KEA</v>
      </c>
      <c r="T7" t="str">
        <f t="shared" si="0"/>
        <v>kea</v>
      </c>
    </row>
    <row r="8" spans="1:20" x14ac:dyDescent="0.25">
      <c r="A8" t="s">
        <v>1422</v>
      </c>
      <c r="B8">
        <v>61</v>
      </c>
      <c r="C8" t="s">
        <v>1618</v>
      </c>
      <c r="D8" t="s">
        <v>5</v>
      </c>
      <c r="E8">
        <v>0</v>
      </c>
      <c r="F8" t="s">
        <v>0</v>
      </c>
      <c r="G8" t="s">
        <v>1525</v>
      </c>
      <c r="H8" t="s">
        <v>1425</v>
      </c>
      <c r="I8" t="s">
        <v>1426</v>
      </c>
      <c r="J8" t="s">
        <v>1426</v>
      </c>
      <c r="M8" s="3">
        <v>466</v>
      </c>
      <c r="N8" s="3" t="s">
        <v>1435</v>
      </c>
      <c r="O8">
        <v>61</v>
      </c>
      <c r="P8" t="str">
        <f t="shared" si="1"/>
        <v>TOST MAKİNESİ AKSU GROSS</v>
      </c>
      <c r="Q8" s="1">
        <f t="shared" si="2"/>
        <v>0</v>
      </c>
      <c r="R8" t="str">
        <f t="shared" si="3"/>
        <v>TL</v>
      </c>
      <c r="S8" t="str">
        <f t="shared" si="4"/>
        <v>KEA</v>
      </c>
      <c r="T8" t="str">
        <f t="shared" si="0"/>
        <v>kea</v>
      </c>
    </row>
    <row r="9" spans="1:20" x14ac:dyDescent="0.25">
      <c r="A9" t="s">
        <v>1422</v>
      </c>
      <c r="B9">
        <v>62</v>
      </c>
      <c r="C9" t="s">
        <v>1617</v>
      </c>
      <c r="D9" t="s">
        <v>6</v>
      </c>
      <c r="E9">
        <v>2050</v>
      </c>
      <c r="F9" t="s">
        <v>0</v>
      </c>
      <c r="G9" t="s">
        <v>1525</v>
      </c>
      <c r="H9" t="s">
        <v>1425</v>
      </c>
      <c r="I9" t="s">
        <v>1426</v>
      </c>
      <c r="J9" t="s">
        <v>1426</v>
      </c>
      <c r="M9" s="3">
        <v>471</v>
      </c>
      <c r="N9" s="3" t="s">
        <v>1437</v>
      </c>
      <c r="O9">
        <v>62</v>
      </c>
      <c r="P9" t="str">
        <f t="shared" si="1"/>
        <v>TOST MAKİNESİ AKSU GUSTO</v>
      </c>
      <c r="Q9" s="1">
        <f t="shared" si="2"/>
        <v>4100</v>
      </c>
      <c r="R9" t="str">
        <f t="shared" si="3"/>
        <v>TL</v>
      </c>
      <c r="S9" t="str">
        <f t="shared" si="4"/>
        <v>KEA</v>
      </c>
      <c r="T9" t="str">
        <f t="shared" si="0"/>
        <v>kea</v>
      </c>
    </row>
    <row r="10" spans="1:20" x14ac:dyDescent="0.25">
      <c r="A10" t="s">
        <v>1422</v>
      </c>
      <c r="B10">
        <v>63</v>
      </c>
      <c r="C10" t="s">
        <v>1616</v>
      </c>
      <c r="D10" t="s">
        <v>7</v>
      </c>
      <c r="E10">
        <v>0</v>
      </c>
      <c r="F10" t="s">
        <v>0</v>
      </c>
      <c r="G10" t="s">
        <v>1525</v>
      </c>
      <c r="H10" t="s">
        <v>1425</v>
      </c>
      <c r="I10" t="s">
        <v>1426</v>
      </c>
      <c r="J10" t="s">
        <v>1426</v>
      </c>
      <c r="M10" s="3">
        <v>475</v>
      </c>
      <c r="N10" s="3" t="s">
        <v>1439</v>
      </c>
      <c r="O10">
        <v>63</v>
      </c>
      <c r="P10" t="str">
        <f t="shared" si="1"/>
        <v>TOST MAKİNESİ AKSU KENGRİLL</v>
      </c>
      <c r="Q10" s="1">
        <f t="shared" si="2"/>
        <v>0</v>
      </c>
      <c r="R10" t="str">
        <f t="shared" si="3"/>
        <v>TL</v>
      </c>
      <c r="S10" t="str">
        <f t="shared" si="4"/>
        <v>KEA</v>
      </c>
      <c r="T10" t="str">
        <f t="shared" si="0"/>
        <v>kea</v>
      </c>
    </row>
    <row r="11" spans="1:20" x14ac:dyDescent="0.25">
      <c r="A11" t="s">
        <v>1422</v>
      </c>
      <c r="B11">
        <v>64</v>
      </c>
      <c r="C11" t="s">
        <v>1615</v>
      </c>
      <c r="D11" t="s">
        <v>8</v>
      </c>
      <c r="E11">
        <v>2500</v>
      </c>
      <c r="F11" t="s">
        <v>0</v>
      </c>
      <c r="G11" t="s">
        <v>1525</v>
      </c>
      <c r="H11" t="s">
        <v>1425</v>
      </c>
      <c r="I11" t="s">
        <v>1426</v>
      </c>
      <c r="J11" t="s">
        <v>1426</v>
      </c>
      <c r="M11" s="2">
        <v>534</v>
      </c>
      <c r="N11" s="3" t="s">
        <v>1441</v>
      </c>
      <c r="O11">
        <v>64</v>
      </c>
      <c r="P11" t="str">
        <f t="shared" si="1"/>
        <v>TOST MAKİNESİ AKSU TOSTADOY GRANİT</v>
      </c>
      <c r="Q11" s="1">
        <f t="shared" si="2"/>
        <v>5000</v>
      </c>
      <c r="R11" t="str">
        <f t="shared" si="3"/>
        <v>TL</v>
      </c>
      <c r="S11" t="str">
        <f t="shared" si="4"/>
        <v>KEA</v>
      </c>
      <c r="T11" t="str">
        <f t="shared" si="0"/>
        <v>kea</v>
      </c>
    </row>
    <row r="12" spans="1:20" x14ac:dyDescent="0.25">
      <c r="A12" t="s">
        <v>1422</v>
      </c>
      <c r="B12">
        <v>65</v>
      </c>
      <c r="C12" t="s">
        <v>1551</v>
      </c>
      <c r="D12" t="s">
        <v>9</v>
      </c>
      <c r="E12">
        <v>1900</v>
      </c>
      <c r="F12" t="s">
        <v>0</v>
      </c>
      <c r="G12" t="s">
        <v>1525</v>
      </c>
      <c r="H12" t="s">
        <v>1425</v>
      </c>
      <c r="I12" t="s">
        <v>1426</v>
      </c>
      <c r="J12" t="s">
        <v>1426</v>
      </c>
      <c r="M12" s="2">
        <v>540</v>
      </c>
      <c r="N12" s="3" t="s">
        <v>1443</v>
      </c>
      <c r="O12">
        <v>65</v>
      </c>
      <c r="P12" t="str">
        <f t="shared" si="1"/>
        <v>WAFFLE MAKİNESİ AKSU</v>
      </c>
      <c r="Q12" s="1">
        <f t="shared" si="2"/>
        <v>3800</v>
      </c>
      <c r="R12" t="str">
        <f t="shared" si="3"/>
        <v>TL</v>
      </c>
      <c r="S12" t="str">
        <f t="shared" si="4"/>
        <v>KEA</v>
      </c>
      <c r="T12" t="str">
        <f t="shared" si="0"/>
        <v>kea</v>
      </c>
    </row>
    <row r="13" spans="1:20" x14ac:dyDescent="0.25">
      <c r="A13" t="s">
        <v>1422</v>
      </c>
      <c r="B13">
        <v>66</v>
      </c>
      <c r="C13" t="s">
        <v>1636</v>
      </c>
      <c r="D13" t="s">
        <v>10</v>
      </c>
      <c r="E13">
        <v>0</v>
      </c>
      <c r="F13" t="s">
        <v>0</v>
      </c>
      <c r="G13" t="s">
        <v>1525</v>
      </c>
      <c r="H13" t="s">
        <v>1425</v>
      </c>
      <c r="I13" t="s">
        <v>1426</v>
      </c>
      <c r="J13" t="s">
        <v>1426</v>
      </c>
      <c r="M13" s="2">
        <v>542</v>
      </c>
      <c r="N13" s="3" t="s">
        <v>1445</v>
      </c>
      <c r="O13">
        <v>66</v>
      </c>
      <c r="P13" t="str">
        <f t="shared" si="1"/>
        <v>ŞOFBEN ALERSO ELEKTRİKLİ</v>
      </c>
      <c r="Q13" s="1">
        <f t="shared" si="2"/>
        <v>0</v>
      </c>
      <c r="R13" t="str">
        <f t="shared" si="3"/>
        <v>TL</v>
      </c>
      <c r="S13" t="str">
        <f t="shared" si="4"/>
        <v>KEA</v>
      </c>
      <c r="T13" t="str">
        <f t="shared" si="0"/>
        <v>kea</v>
      </c>
    </row>
    <row r="14" spans="1:20" x14ac:dyDescent="0.25">
      <c r="A14" t="s">
        <v>1422</v>
      </c>
      <c r="B14">
        <v>67</v>
      </c>
      <c r="C14" t="s">
        <v>2344</v>
      </c>
      <c r="D14" t="s">
        <v>11</v>
      </c>
      <c r="E14">
        <v>400</v>
      </c>
      <c r="F14" t="s">
        <v>0</v>
      </c>
      <c r="G14" t="s">
        <v>1553</v>
      </c>
      <c r="H14" t="s">
        <v>1425</v>
      </c>
      <c r="I14" t="s">
        <v>1426</v>
      </c>
      <c r="J14" t="s">
        <v>1426</v>
      </c>
      <c r="M14" s="2">
        <v>547</v>
      </c>
      <c r="N14" s="3" t="s">
        <v>1447</v>
      </c>
      <c r="O14">
        <v>67</v>
      </c>
      <c r="P14" t="str">
        <f t="shared" si="1"/>
        <v>ALTINBOĞA KİLİTLİ METAL DEDANTÖR 8MM</v>
      </c>
      <c r="Q14" s="1">
        <f t="shared" si="2"/>
        <v>800</v>
      </c>
      <c r="R14" t="str">
        <f t="shared" si="3"/>
        <v>TL</v>
      </c>
      <c r="S14" t="str">
        <f t="shared" si="4"/>
        <v>TÜP</v>
      </c>
      <c r="T14" t="str">
        <f t="shared" si="0"/>
        <v>tup</v>
      </c>
    </row>
    <row r="15" spans="1:20" x14ac:dyDescent="0.25">
      <c r="A15" t="s">
        <v>1422</v>
      </c>
      <c r="B15">
        <v>68</v>
      </c>
      <c r="C15" t="s">
        <v>2339</v>
      </c>
      <c r="D15" t="s">
        <v>12</v>
      </c>
      <c r="E15">
        <v>850</v>
      </c>
      <c r="F15" t="s">
        <v>0</v>
      </c>
      <c r="G15" t="s">
        <v>1525</v>
      </c>
      <c r="H15" t="s">
        <v>1425</v>
      </c>
      <c r="I15" t="s">
        <v>1426</v>
      </c>
      <c r="J15" t="s">
        <v>1426</v>
      </c>
      <c r="M15" s="3">
        <v>599</v>
      </c>
      <c r="N15" s="3" t="s">
        <v>1449</v>
      </c>
      <c r="O15">
        <v>68</v>
      </c>
      <c r="P15" t="str">
        <f t="shared" si="1"/>
        <v>ALYANS 2 Lİ OCAK LPG</v>
      </c>
      <c r="Q15" s="1">
        <f t="shared" si="2"/>
        <v>1700</v>
      </c>
      <c r="R15" t="str">
        <f t="shared" si="3"/>
        <v>TL</v>
      </c>
      <c r="S15" t="str">
        <f t="shared" si="4"/>
        <v>KEA</v>
      </c>
      <c r="T15" t="str">
        <f t="shared" si="0"/>
        <v>kea</v>
      </c>
    </row>
    <row r="16" spans="1:20" x14ac:dyDescent="0.25">
      <c r="A16" t="s">
        <v>1422</v>
      </c>
      <c r="B16">
        <v>69</v>
      </c>
      <c r="C16" t="s">
        <v>2340</v>
      </c>
      <c r="D16" t="s">
        <v>13</v>
      </c>
      <c r="E16">
        <v>850</v>
      </c>
      <c r="F16" t="s">
        <v>0</v>
      </c>
      <c r="G16" t="s">
        <v>1525</v>
      </c>
      <c r="H16" t="s">
        <v>1425</v>
      </c>
      <c r="I16" t="s">
        <v>1426</v>
      </c>
      <c r="J16" t="s">
        <v>1426</v>
      </c>
      <c r="M16" s="3">
        <v>609</v>
      </c>
      <c r="N16" s="3" t="s">
        <v>1451</v>
      </c>
      <c r="O16">
        <v>69</v>
      </c>
      <c r="P16" t="str">
        <f t="shared" si="1"/>
        <v>ALYANS 2 Lİ OCAK DOĞALGAZ</v>
      </c>
      <c r="Q16" s="1">
        <f t="shared" si="2"/>
        <v>1700</v>
      </c>
      <c r="R16" t="str">
        <f t="shared" si="3"/>
        <v>TL</v>
      </c>
      <c r="S16" t="str">
        <f t="shared" si="4"/>
        <v>KEA</v>
      </c>
      <c r="T16" t="str">
        <f t="shared" si="0"/>
        <v>kea</v>
      </c>
    </row>
    <row r="17" spans="1:20" x14ac:dyDescent="0.25">
      <c r="A17" t="s">
        <v>1422</v>
      </c>
      <c r="B17">
        <v>70</v>
      </c>
      <c r="C17" t="s">
        <v>2338</v>
      </c>
      <c r="D17" t="s">
        <v>14</v>
      </c>
      <c r="E17">
        <v>950</v>
      </c>
      <c r="F17" t="s">
        <v>0</v>
      </c>
      <c r="G17" t="s">
        <v>1525</v>
      </c>
      <c r="H17" t="s">
        <v>1425</v>
      </c>
      <c r="I17" t="s">
        <v>1426</v>
      </c>
      <c r="J17" t="s">
        <v>1426</v>
      </c>
      <c r="M17" s="3">
        <v>616</v>
      </c>
      <c r="N17" s="3" t="s">
        <v>1453</v>
      </c>
      <c r="O17">
        <v>70</v>
      </c>
      <c r="P17" t="str">
        <f t="shared" si="1"/>
        <v>ALYANS 3 LÜ OCAK DOĞALGAZLI</v>
      </c>
      <c r="Q17" s="1">
        <f t="shared" si="2"/>
        <v>1900</v>
      </c>
      <c r="R17" t="str">
        <f t="shared" si="3"/>
        <v>TL</v>
      </c>
      <c r="S17" t="str">
        <f t="shared" si="4"/>
        <v>KEA</v>
      </c>
      <c r="T17" t="str">
        <f t="shared" si="0"/>
        <v>kea</v>
      </c>
    </row>
    <row r="18" spans="1:20" x14ac:dyDescent="0.25">
      <c r="A18" t="s">
        <v>1422</v>
      </c>
      <c r="B18">
        <v>71</v>
      </c>
      <c r="C18" t="s">
        <v>2337</v>
      </c>
      <c r="D18" t="s">
        <v>15</v>
      </c>
      <c r="E18">
        <v>950</v>
      </c>
      <c r="F18" t="s">
        <v>0</v>
      </c>
      <c r="G18" t="s">
        <v>1525</v>
      </c>
      <c r="H18" t="s">
        <v>1425</v>
      </c>
      <c r="I18" t="s">
        <v>1426</v>
      </c>
      <c r="J18" t="s">
        <v>1426</v>
      </c>
      <c r="M18" s="3">
        <v>623</v>
      </c>
      <c r="N18" s="3" t="s">
        <v>1456</v>
      </c>
      <c r="O18">
        <v>71</v>
      </c>
      <c r="P18" t="str">
        <f t="shared" si="1"/>
        <v>ALYANS 3 LÜ OCAK LPG</v>
      </c>
      <c r="Q18" s="1">
        <f t="shared" si="2"/>
        <v>1900</v>
      </c>
      <c r="R18" t="str">
        <f t="shared" si="3"/>
        <v>TL</v>
      </c>
      <c r="S18" t="str">
        <f t="shared" si="4"/>
        <v>KEA</v>
      </c>
      <c r="T18" t="str">
        <f t="shared" si="0"/>
        <v>kea</v>
      </c>
    </row>
    <row r="19" spans="1:20" x14ac:dyDescent="0.25">
      <c r="A19" t="s">
        <v>1422</v>
      </c>
      <c r="B19">
        <v>72</v>
      </c>
      <c r="C19" t="s">
        <v>2336</v>
      </c>
      <c r="D19" t="s">
        <v>16</v>
      </c>
      <c r="E19">
        <v>0</v>
      </c>
      <c r="F19" t="s">
        <v>0</v>
      </c>
      <c r="G19" t="s">
        <v>1525</v>
      </c>
      <c r="H19" t="s">
        <v>1425</v>
      </c>
      <c r="I19" t="s">
        <v>1426</v>
      </c>
      <c r="J19" t="s">
        <v>1426</v>
      </c>
      <c r="M19" s="3">
        <v>626</v>
      </c>
      <c r="N19" s="3" t="s">
        <v>1459</v>
      </c>
      <c r="O19">
        <v>72</v>
      </c>
      <c r="P19" t="str">
        <f t="shared" si="1"/>
        <v>ALYANS 4 LÜ OCAK DOĞALGAZLI BEYAZ</v>
      </c>
      <c r="Q19" s="1">
        <f t="shared" si="2"/>
        <v>0</v>
      </c>
      <c r="R19" t="str">
        <f t="shared" si="3"/>
        <v>TL</v>
      </c>
      <c r="S19" t="str">
        <f t="shared" si="4"/>
        <v>KEA</v>
      </c>
      <c r="T19" t="str">
        <f t="shared" si="0"/>
        <v>kea</v>
      </c>
    </row>
    <row r="20" spans="1:20" x14ac:dyDescent="0.25">
      <c r="A20" t="s">
        <v>1422</v>
      </c>
      <c r="B20">
        <v>73</v>
      </c>
      <c r="C20" t="s">
        <v>2335</v>
      </c>
      <c r="D20" t="s">
        <v>17</v>
      </c>
      <c r="E20">
        <v>0</v>
      </c>
      <c r="F20" t="s">
        <v>0</v>
      </c>
      <c r="G20" t="s">
        <v>1525</v>
      </c>
      <c r="H20" t="s">
        <v>1425</v>
      </c>
      <c r="I20" t="s">
        <v>1426</v>
      </c>
      <c r="J20" t="s">
        <v>1426</v>
      </c>
      <c r="M20" s="2">
        <v>743</v>
      </c>
      <c r="N20" s="3" t="s">
        <v>1462</v>
      </c>
      <c r="O20">
        <v>73</v>
      </c>
      <c r="P20" t="str">
        <f t="shared" si="1"/>
        <v>ALYANS 4 LÜ OCAK DOĞALGAZLI SİYAH</v>
      </c>
      <c r="Q20" s="1">
        <f t="shared" si="2"/>
        <v>0</v>
      </c>
      <c r="R20" t="str">
        <f t="shared" si="3"/>
        <v>TL</v>
      </c>
      <c r="S20" t="str">
        <f t="shared" si="4"/>
        <v>KEA</v>
      </c>
      <c r="T20" t="str">
        <f t="shared" si="0"/>
        <v>kea</v>
      </c>
    </row>
    <row r="21" spans="1:20" x14ac:dyDescent="0.25">
      <c r="A21" t="s">
        <v>1422</v>
      </c>
      <c r="B21">
        <v>74</v>
      </c>
      <c r="C21" t="s">
        <v>2334</v>
      </c>
      <c r="D21" t="s">
        <v>18</v>
      </c>
      <c r="E21">
        <v>1200</v>
      </c>
      <c r="F21" t="s">
        <v>0</v>
      </c>
      <c r="G21" t="s">
        <v>1525</v>
      </c>
      <c r="H21" t="s">
        <v>1425</v>
      </c>
      <c r="I21" t="s">
        <v>1426</v>
      </c>
      <c r="J21" t="s">
        <v>1426</v>
      </c>
      <c r="M21" s="2">
        <v>1024</v>
      </c>
      <c r="N21" s="3" t="s">
        <v>1464</v>
      </c>
      <c r="O21">
        <v>74</v>
      </c>
      <c r="P21" t="str">
        <f t="shared" si="1"/>
        <v>ALYANS 4 LÜ OCAK LPG BEYAZ</v>
      </c>
      <c r="Q21" s="1">
        <f t="shared" si="2"/>
        <v>2400</v>
      </c>
      <c r="R21" t="str">
        <f t="shared" si="3"/>
        <v>TL</v>
      </c>
      <c r="S21" t="str">
        <f t="shared" si="4"/>
        <v>KEA</v>
      </c>
      <c r="T21" t="str">
        <f t="shared" si="0"/>
        <v>kea</v>
      </c>
    </row>
    <row r="22" spans="1:20" x14ac:dyDescent="0.25">
      <c r="A22" t="s">
        <v>1422</v>
      </c>
      <c r="B22">
        <v>75</v>
      </c>
      <c r="C22" t="s">
        <v>2333</v>
      </c>
      <c r="D22" t="s">
        <v>19</v>
      </c>
      <c r="E22">
        <v>1200</v>
      </c>
      <c r="F22" t="s">
        <v>0</v>
      </c>
      <c r="G22" t="s">
        <v>1525</v>
      </c>
      <c r="H22" t="s">
        <v>1425</v>
      </c>
      <c r="I22" t="s">
        <v>1426</v>
      </c>
      <c r="J22" t="s">
        <v>1426</v>
      </c>
      <c r="M22" s="2">
        <v>1026</v>
      </c>
      <c r="N22" s="3" t="s">
        <v>1466</v>
      </c>
      <c r="O22">
        <v>75</v>
      </c>
      <c r="P22" t="str">
        <f t="shared" si="1"/>
        <v>ALYANS 4 LÜ OCAK LPG SİYAH</v>
      </c>
      <c r="Q22" s="1">
        <f t="shared" si="2"/>
        <v>2400</v>
      </c>
      <c r="R22" t="str">
        <f t="shared" si="3"/>
        <v>TL</v>
      </c>
      <c r="S22" t="str">
        <f t="shared" si="4"/>
        <v>KEA</v>
      </c>
      <c r="T22" t="str">
        <f t="shared" si="0"/>
        <v>kea</v>
      </c>
    </row>
    <row r="23" spans="1:20" x14ac:dyDescent="0.25">
      <c r="A23" t="s">
        <v>1422</v>
      </c>
      <c r="B23">
        <v>76</v>
      </c>
      <c r="C23" t="s">
        <v>2332</v>
      </c>
      <c r="D23" t="s">
        <v>20</v>
      </c>
      <c r="E23">
        <v>400</v>
      </c>
      <c r="F23" t="s">
        <v>0</v>
      </c>
      <c r="G23" t="s">
        <v>1525</v>
      </c>
      <c r="H23" t="s">
        <v>1425</v>
      </c>
      <c r="I23" t="s">
        <v>1426</v>
      </c>
      <c r="J23" t="s">
        <v>1426</v>
      </c>
      <c r="M23" s="2">
        <v>1038</v>
      </c>
      <c r="N23" s="3" t="s">
        <v>1468</v>
      </c>
      <c r="O23">
        <v>76</v>
      </c>
      <c r="P23" t="str">
        <f t="shared" si="1"/>
        <v>ALYANS TEKLİ OCAK</v>
      </c>
      <c r="Q23" s="1">
        <f t="shared" si="2"/>
        <v>800</v>
      </c>
      <c r="R23" t="str">
        <f t="shared" si="3"/>
        <v>TL</v>
      </c>
      <c r="S23" t="str">
        <f t="shared" si="4"/>
        <v>KEA</v>
      </c>
      <c r="T23" t="str">
        <f t="shared" si="0"/>
        <v>kea</v>
      </c>
    </row>
    <row r="24" spans="1:20" x14ac:dyDescent="0.25">
      <c r="A24" t="s">
        <v>1422</v>
      </c>
      <c r="B24">
        <v>77</v>
      </c>
      <c r="C24" t="s">
        <v>1982</v>
      </c>
      <c r="D24" t="s">
        <v>21</v>
      </c>
      <c r="E24">
        <v>6700</v>
      </c>
      <c r="F24" t="s">
        <v>0</v>
      </c>
      <c r="G24" t="s">
        <v>1525</v>
      </c>
      <c r="H24" t="s">
        <v>1425</v>
      </c>
      <c r="I24" t="s">
        <v>1426</v>
      </c>
      <c r="J24" t="s">
        <v>1426</v>
      </c>
      <c r="M24" s="3">
        <v>1339</v>
      </c>
      <c r="N24" s="3" t="s">
        <v>1470</v>
      </c>
      <c r="O24">
        <v>77</v>
      </c>
      <c r="P24" t="str">
        <f t="shared" si="1"/>
        <v>MİKRODALGA FIRIN ARÇELİK GRİ</v>
      </c>
      <c r="Q24" s="1">
        <f t="shared" si="2"/>
        <v>13400</v>
      </c>
      <c r="R24" t="str">
        <f t="shared" si="3"/>
        <v>TL</v>
      </c>
      <c r="S24" t="str">
        <f t="shared" si="4"/>
        <v>KEA</v>
      </c>
      <c r="T24" t="str">
        <f t="shared" si="0"/>
        <v>kea</v>
      </c>
    </row>
    <row r="25" spans="1:20" x14ac:dyDescent="0.25">
      <c r="A25" t="s">
        <v>1422</v>
      </c>
      <c r="B25">
        <v>78</v>
      </c>
      <c r="C25" t="s">
        <v>1981</v>
      </c>
      <c r="D25" t="s">
        <v>22</v>
      </c>
      <c r="E25">
        <v>6700</v>
      </c>
      <c r="F25" t="s">
        <v>0</v>
      </c>
      <c r="G25" t="s">
        <v>1525</v>
      </c>
      <c r="H25" t="s">
        <v>1425</v>
      </c>
      <c r="I25" t="s">
        <v>1426</v>
      </c>
      <c r="J25" t="s">
        <v>1426</v>
      </c>
      <c r="M25" s="3">
        <v>1344</v>
      </c>
      <c r="N25" s="3" t="s">
        <v>1472</v>
      </c>
      <c r="O25">
        <v>78</v>
      </c>
      <c r="P25" t="str">
        <f t="shared" si="1"/>
        <v>MİKRODALGA FIRIN ARÇELİK SİYAH</v>
      </c>
      <c r="Q25" s="1">
        <f t="shared" si="2"/>
        <v>13400</v>
      </c>
      <c r="R25" t="str">
        <f t="shared" si="3"/>
        <v>TL</v>
      </c>
      <c r="S25" t="str">
        <f t="shared" si="4"/>
        <v>KEA</v>
      </c>
      <c r="T25" t="str">
        <f t="shared" si="0"/>
        <v>kea</v>
      </c>
    </row>
    <row r="26" spans="1:20" x14ac:dyDescent="0.25">
      <c r="A26" t="s">
        <v>1422</v>
      </c>
      <c r="B26">
        <v>79</v>
      </c>
      <c r="C26" t="s">
        <v>2322</v>
      </c>
      <c r="D26" t="s">
        <v>23</v>
      </c>
      <c r="E26">
        <v>950</v>
      </c>
      <c r="F26" t="s">
        <v>0</v>
      </c>
      <c r="G26" t="s">
        <v>1525</v>
      </c>
      <c r="H26" t="s">
        <v>1425</v>
      </c>
      <c r="I26" t="s">
        <v>1426</v>
      </c>
      <c r="J26" t="s">
        <v>1426</v>
      </c>
      <c r="M26" s="3">
        <v>1347</v>
      </c>
      <c r="N26" s="3" t="s">
        <v>1474</v>
      </c>
      <c r="O26">
        <v>79</v>
      </c>
      <c r="P26" t="str">
        <f t="shared" si="1"/>
        <v>ARI 3 LÜ OCAK LPG</v>
      </c>
      <c r="Q26" s="1">
        <f t="shared" si="2"/>
        <v>1900</v>
      </c>
      <c r="R26" t="str">
        <f t="shared" si="3"/>
        <v>TL</v>
      </c>
      <c r="S26" t="str">
        <f t="shared" si="4"/>
        <v>KEA</v>
      </c>
      <c r="T26" t="str">
        <f t="shared" si="0"/>
        <v>kea</v>
      </c>
    </row>
    <row r="27" spans="1:20" x14ac:dyDescent="0.25">
      <c r="A27" t="s">
        <v>1422</v>
      </c>
      <c r="B27">
        <v>80</v>
      </c>
      <c r="C27" t="s">
        <v>1696</v>
      </c>
      <c r="D27" t="s">
        <v>24</v>
      </c>
      <c r="E27">
        <v>2200</v>
      </c>
      <c r="F27" t="s">
        <v>0</v>
      </c>
      <c r="G27" t="s">
        <v>1525</v>
      </c>
      <c r="H27" t="s">
        <v>1425</v>
      </c>
      <c r="I27" t="s">
        <v>1426</v>
      </c>
      <c r="J27" t="s">
        <v>1426</v>
      </c>
      <c r="M27" s="3">
        <v>1348</v>
      </c>
      <c r="N27" s="3" t="s">
        <v>1476</v>
      </c>
      <c r="O27">
        <v>80</v>
      </c>
      <c r="P27" t="str">
        <f t="shared" si="1"/>
        <v>SEMAVER ARMAĞAN 100 BARDAK</v>
      </c>
      <c r="Q27" s="1">
        <f t="shared" si="2"/>
        <v>4400</v>
      </c>
      <c r="R27" t="str">
        <f t="shared" si="3"/>
        <v>TL</v>
      </c>
      <c r="S27" t="str">
        <f t="shared" si="4"/>
        <v>KEA</v>
      </c>
      <c r="T27" t="str">
        <f t="shared" si="0"/>
        <v>kea</v>
      </c>
    </row>
    <row r="28" spans="1:20" x14ac:dyDescent="0.25">
      <c r="A28" t="s">
        <v>1422</v>
      </c>
      <c r="B28">
        <v>85</v>
      </c>
      <c r="C28" t="s">
        <v>2321</v>
      </c>
      <c r="D28" t="s">
        <v>25</v>
      </c>
      <c r="E28">
        <v>3350</v>
      </c>
      <c r="F28" t="s">
        <v>0</v>
      </c>
      <c r="G28" t="s">
        <v>1525</v>
      </c>
      <c r="H28" t="s">
        <v>1425</v>
      </c>
      <c r="I28" t="s">
        <v>1426</v>
      </c>
      <c r="J28" t="s">
        <v>1426</v>
      </c>
      <c r="M28" s="3">
        <v>1349</v>
      </c>
      <c r="N28" s="3" t="s">
        <v>1478</v>
      </c>
      <c r="O28">
        <v>85</v>
      </c>
      <c r="P28" t="str">
        <f t="shared" si="1"/>
        <v>ARNEL 4'LÜ FFD ÇAKMAKLI DG</v>
      </c>
      <c r="Q28" s="1">
        <f t="shared" si="2"/>
        <v>6700</v>
      </c>
      <c r="R28" t="str">
        <f t="shared" si="3"/>
        <v>TL</v>
      </c>
      <c r="S28" t="str">
        <f t="shared" si="4"/>
        <v>KEA</v>
      </c>
      <c r="T28" t="str">
        <f t="shared" si="0"/>
        <v>kea</v>
      </c>
    </row>
    <row r="29" spans="1:20" x14ac:dyDescent="0.25">
      <c r="A29" t="s">
        <v>1422</v>
      </c>
      <c r="B29">
        <v>86</v>
      </c>
      <c r="C29" t="s">
        <v>2320</v>
      </c>
      <c r="D29" t="s">
        <v>26</v>
      </c>
      <c r="E29">
        <v>3350</v>
      </c>
      <c r="F29" t="s">
        <v>0</v>
      </c>
      <c r="G29" t="s">
        <v>1525</v>
      </c>
      <c r="H29" t="s">
        <v>1425</v>
      </c>
      <c r="I29" t="s">
        <v>1426</v>
      </c>
      <c r="J29" t="s">
        <v>1426</v>
      </c>
      <c r="M29" s="3">
        <v>1363</v>
      </c>
      <c r="N29" s="3" t="s">
        <v>1480</v>
      </c>
      <c r="O29">
        <v>86</v>
      </c>
      <c r="P29" t="str">
        <f t="shared" si="1"/>
        <v>ARNEL 4'LÜ FFD ÇAKMALI LPG</v>
      </c>
      <c r="Q29" s="1">
        <f t="shared" si="2"/>
        <v>6700</v>
      </c>
      <c r="R29" t="str">
        <f t="shared" si="3"/>
        <v>TL</v>
      </c>
      <c r="S29" t="str">
        <f t="shared" si="4"/>
        <v>KEA</v>
      </c>
      <c r="T29" t="str">
        <f t="shared" si="0"/>
        <v>kea</v>
      </c>
    </row>
    <row r="30" spans="1:20" x14ac:dyDescent="0.25">
      <c r="A30" t="s">
        <v>1422</v>
      </c>
      <c r="B30">
        <v>87</v>
      </c>
      <c r="C30" t="s">
        <v>1613</v>
      </c>
      <c r="D30" t="s">
        <v>27</v>
      </c>
      <c r="E30">
        <v>0</v>
      </c>
      <c r="F30" t="s">
        <v>0</v>
      </c>
      <c r="G30" t="s">
        <v>1525</v>
      </c>
      <c r="H30" t="s">
        <v>1425</v>
      </c>
      <c r="I30" t="s">
        <v>1426</v>
      </c>
      <c r="J30" t="s">
        <v>1426</v>
      </c>
      <c r="M30" s="3">
        <v>1380</v>
      </c>
      <c r="N30" s="3" t="s">
        <v>1482</v>
      </c>
      <c r="O30">
        <v>87</v>
      </c>
      <c r="P30" t="str">
        <f t="shared" si="1"/>
        <v>TOST MAKİNESİ ARNİCA AYVALIK</v>
      </c>
      <c r="Q30" s="1">
        <f t="shared" si="2"/>
        <v>0</v>
      </c>
      <c r="R30" t="str">
        <f t="shared" si="3"/>
        <v>TL</v>
      </c>
      <c r="S30" t="str">
        <f t="shared" si="4"/>
        <v>KEA</v>
      </c>
      <c r="T30" t="str">
        <f t="shared" si="0"/>
        <v>kea</v>
      </c>
    </row>
    <row r="31" spans="1:20" x14ac:dyDescent="0.25">
      <c r="A31" t="s">
        <v>1422</v>
      </c>
      <c r="B31">
        <v>88</v>
      </c>
      <c r="C31" t="s">
        <v>2292</v>
      </c>
      <c r="D31" t="s">
        <v>28</v>
      </c>
      <c r="E31">
        <v>0</v>
      </c>
      <c r="F31" t="s">
        <v>0</v>
      </c>
      <c r="G31" t="s">
        <v>1525</v>
      </c>
      <c r="H31" t="s">
        <v>1425</v>
      </c>
      <c r="I31" t="s">
        <v>1426</v>
      </c>
      <c r="J31" t="s">
        <v>1426</v>
      </c>
      <c r="M31" s="2">
        <v>1395</v>
      </c>
      <c r="N31" s="3" t="s">
        <v>1484</v>
      </c>
      <c r="O31">
        <v>88</v>
      </c>
      <c r="P31" t="str">
        <f t="shared" si="1"/>
        <v>BLENDER SET ARNİCA DİVA PRO</v>
      </c>
      <c r="Q31" s="1">
        <f t="shared" si="2"/>
        <v>0</v>
      </c>
      <c r="R31" t="str">
        <f t="shared" si="3"/>
        <v>TL</v>
      </c>
      <c r="S31" t="str">
        <f t="shared" si="4"/>
        <v>KEA</v>
      </c>
      <c r="T31" t="str">
        <f t="shared" si="0"/>
        <v>kea</v>
      </c>
    </row>
    <row r="32" spans="1:20" x14ac:dyDescent="0.25">
      <c r="A32" t="s">
        <v>1422</v>
      </c>
      <c r="B32">
        <v>89</v>
      </c>
      <c r="C32" t="s">
        <v>2291</v>
      </c>
      <c r="D32" t="s">
        <v>29</v>
      </c>
      <c r="E32">
        <v>0</v>
      </c>
      <c r="F32" t="s">
        <v>0</v>
      </c>
      <c r="G32" t="s">
        <v>1525</v>
      </c>
      <c r="H32" t="s">
        <v>1425</v>
      </c>
      <c r="I32" t="s">
        <v>1426</v>
      </c>
      <c r="J32" t="s">
        <v>1426</v>
      </c>
      <c r="M32" s="3">
        <v>1398</v>
      </c>
      <c r="N32" s="3" t="s">
        <v>1486</v>
      </c>
      <c r="O32">
        <v>89</v>
      </c>
      <c r="P32" t="str">
        <f t="shared" si="1"/>
        <v>BLENDER SET ARNİCA DİVA TRENDY</v>
      </c>
      <c r="Q32" s="1">
        <f t="shared" si="2"/>
        <v>0</v>
      </c>
      <c r="R32" t="str">
        <f t="shared" si="3"/>
        <v>TL</v>
      </c>
      <c r="S32" t="str">
        <f t="shared" si="4"/>
        <v>KEA</v>
      </c>
      <c r="T32" t="str">
        <f t="shared" si="0"/>
        <v>kea</v>
      </c>
    </row>
    <row r="33" spans="1:20" x14ac:dyDescent="0.25">
      <c r="A33" t="s">
        <v>1422</v>
      </c>
      <c r="B33">
        <v>90</v>
      </c>
      <c r="C33" t="s">
        <v>1983</v>
      </c>
      <c r="D33" t="s">
        <v>30</v>
      </c>
      <c r="E33">
        <v>6000</v>
      </c>
      <c r="F33" t="s">
        <v>0</v>
      </c>
      <c r="G33" t="s">
        <v>1525</v>
      </c>
      <c r="H33" t="s">
        <v>1425</v>
      </c>
      <c r="I33" t="s">
        <v>1426</v>
      </c>
      <c r="J33" t="s">
        <v>1426</v>
      </c>
      <c r="M33" s="3">
        <v>1403</v>
      </c>
      <c r="N33" s="3" t="s">
        <v>1488</v>
      </c>
      <c r="O33">
        <v>90</v>
      </c>
      <c r="P33" t="str">
        <f t="shared" si="1"/>
        <v>MEYVE SIKACAĞI ARNİCA EKOVİTA PLUS KATI</v>
      </c>
      <c r="Q33" s="1">
        <f t="shared" si="2"/>
        <v>12000</v>
      </c>
      <c r="R33" t="str">
        <f t="shared" si="3"/>
        <v>TL</v>
      </c>
      <c r="S33" t="str">
        <f t="shared" si="4"/>
        <v>KEA</v>
      </c>
      <c r="T33" t="str">
        <f t="shared" si="0"/>
        <v>kea</v>
      </c>
    </row>
    <row r="34" spans="1:20" x14ac:dyDescent="0.25">
      <c r="A34" t="s">
        <v>1422</v>
      </c>
      <c r="B34">
        <v>91</v>
      </c>
      <c r="C34" t="s">
        <v>2156</v>
      </c>
      <c r="D34" t="s">
        <v>31</v>
      </c>
      <c r="E34">
        <v>2650</v>
      </c>
      <c r="F34" t="s">
        <v>0</v>
      </c>
      <c r="G34" t="s">
        <v>1525</v>
      </c>
      <c r="H34" t="s">
        <v>1425</v>
      </c>
      <c r="I34" t="s">
        <v>1426</v>
      </c>
      <c r="J34" t="s">
        <v>1426</v>
      </c>
      <c r="M34" s="3">
        <v>1413</v>
      </c>
      <c r="N34" s="3" t="s">
        <v>1490</v>
      </c>
      <c r="O34">
        <v>91</v>
      </c>
      <c r="P34" t="str">
        <f t="shared" si="1"/>
        <v>KAHVE MAKİNESİ ARNİCA KÖPÜKLÜ OTOMATİK</v>
      </c>
      <c r="Q34" s="1">
        <f t="shared" si="2"/>
        <v>5300</v>
      </c>
      <c r="R34" t="str">
        <f t="shared" si="3"/>
        <v>TL</v>
      </c>
      <c r="S34" t="str">
        <f t="shared" si="4"/>
        <v>KEA</v>
      </c>
      <c r="T34" t="str">
        <f t="shared" si="0"/>
        <v>kea</v>
      </c>
    </row>
    <row r="35" spans="1:20" x14ac:dyDescent="0.25">
      <c r="A35" t="s">
        <v>1422</v>
      </c>
      <c r="B35">
        <v>92</v>
      </c>
      <c r="C35" t="s">
        <v>1670</v>
      </c>
      <c r="D35" t="s">
        <v>32</v>
      </c>
      <c r="E35">
        <v>0</v>
      </c>
      <c r="F35" t="s">
        <v>0</v>
      </c>
      <c r="G35" t="s">
        <v>1525</v>
      </c>
      <c r="H35" t="s">
        <v>1425</v>
      </c>
      <c r="I35" t="s">
        <v>1426</v>
      </c>
      <c r="J35" t="s">
        <v>1426</v>
      </c>
      <c r="M35" s="3">
        <v>1418</v>
      </c>
      <c r="N35" s="3" t="s">
        <v>1492</v>
      </c>
      <c r="O35">
        <v>92</v>
      </c>
      <c r="P35" t="str">
        <f t="shared" si="1"/>
        <v>SÜPÜRGE ARNİCA LOTUS TOZ TORBALI</v>
      </c>
      <c r="Q35" s="1">
        <f t="shared" si="2"/>
        <v>0</v>
      </c>
      <c r="R35" t="str">
        <f t="shared" si="3"/>
        <v>TL</v>
      </c>
      <c r="S35" t="str">
        <f t="shared" si="4"/>
        <v>KEA</v>
      </c>
      <c r="T35" t="str">
        <f t="shared" si="0"/>
        <v>kea</v>
      </c>
    </row>
    <row r="36" spans="1:20" x14ac:dyDescent="0.25">
      <c r="A36" t="s">
        <v>1422</v>
      </c>
      <c r="B36">
        <v>93</v>
      </c>
      <c r="C36" t="s">
        <v>1669</v>
      </c>
      <c r="D36" t="s">
        <v>33</v>
      </c>
      <c r="E36">
        <v>0</v>
      </c>
      <c r="F36" t="s">
        <v>0</v>
      </c>
      <c r="G36" t="s">
        <v>1525</v>
      </c>
      <c r="H36" t="s">
        <v>1425</v>
      </c>
      <c r="I36" t="s">
        <v>1426</v>
      </c>
      <c r="J36" t="s">
        <v>1426</v>
      </c>
      <c r="M36" s="2">
        <v>1427</v>
      </c>
      <c r="N36" s="3" t="s">
        <v>1494</v>
      </c>
      <c r="O36">
        <v>93</v>
      </c>
      <c r="P36" t="str">
        <f t="shared" si="1"/>
        <v>SÜPÜRGE ARNİCA MİLA TOZ TORBASIZ 14441</v>
      </c>
      <c r="Q36" s="1">
        <f t="shared" si="2"/>
        <v>0</v>
      </c>
      <c r="R36" t="str">
        <f t="shared" si="3"/>
        <v>TL</v>
      </c>
      <c r="S36" t="str">
        <f t="shared" si="4"/>
        <v>KEA</v>
      </c>
      <c r="T36" t="str">
        <f t="shared" si="0"/>
        <v>kea</v>
      </c>
    </row>
    <row r="37" spans="1:20" x14ac:dyDescent="0.25">
      <c r="A37" t="s">
        <v>1422</v>
      </c>
      <c r="B37">
        <v>94</v>
      </c>
      <c r="C37" t="s">
        <v>1950</v>
      </c>
      <c r="D37" t="s">
        <v>34</v>
      </c>
      <c r="E37">
        <v>3640</v>
      </c>
      <c r="F37" t="s">
        <v>0</v>
      </c>
      <c r="G37" t="s">
        <v>1525</v>
      </c>
      <c r="H37" t="s">
        <v>1425</v>
      </c>
      <c r="I37" t="s">
        <v>1426</v>
      </c>
      <c r="J37" t="s">
        <v>1426</v>
      </c>
      <c r="M37" s="2">
        <v>1430</v>
      </c>
      <c r="N37" s="3" t="s">
        <v>1496</v>
      </c>
      <c r="O37">
        <v>94</v>
      </c>
      <c r="P37" t="str">
        <f t="shared" si="1"/>
        <v>MUTFAK ROBOTU ARNİCA PROKİT 444 MİNİ</v>
      </c>
      <c r="Q37" s="1">
        <f t="shared" si="2"/>
        <v>7280</v>
      </c>
      <c r="R37" t="str">
        <f t="shared" si="3"/>
        <v>TL</v>
      </c>
      <c r="S37" t="str">
        <f t="shared" si="4"/>
        <v>KEA</v>
      </c>
      <c r="T37" t="str">
        <f t="shared" si="0"/>
        <v>kea</v>
      </c>
    </row>
    <row r="38" spans="1:20" x14ac:dyDescent="0.25">
      <c r="A38" t="s">
        <v>1422</v>
      </c>
      <c r="B38">
        <v>95</v>
      </c>
      <c r="C38" t="s">
        <v>1949</v>
      </c>
      <c r="D38" t="s">
        <v>35</v>
      </c>
      <c r="E38">
        <v>5950</v>
      </c>
      <c r="F38" t="s">
        <v>0</v>
      </c>
      <c r="G38" t="s">
        <v>1525</v>
      </c>
      <c r="H38" t="s">
        <v>1425</v>
      </c>
      <c r="I38" t="s">
        <v>1426</v>
      </c>
      <c r="J38" t="s">
        <v>1426</v>
      </c>
      <c r="M38" s="2">
        <v>1434</v>
      </c>
      <c r="N38" s="3" t="s">
        <v>1498</v>
      </c>
      <c r="O38">
        <v>95</v>
      </c>
      <c r="P38" t="str">
        <f t="shared" si="1"/>
        <v>MUTFAK ROBOTU ARNİCA PROKİT 444 PLUS</v>
      </c>
      <c r="Q38" s="1">
        <f t="shared" si="2"/>
        <v>11900</v>
      </c>
      <c r="R38" t="str">
        <f t="shared" si="3"/>
        <v>TL</v>
      </c>
      <c r="S38" t="str">
        <f t="shared" si="4"/>
        <v>KEA</v>
      </c>
      <c r="T38" t="str">
        <f t="shared" si="0"/>
        <v>kea</v>
      </c>
    </row>
    <row r="39" spans="1:20" x14ac:dyDescent="0.25">
      <c r="A39" t="s">
        <v>1422</v>
      </c>
      <c r="B39">
        <v>96</v>
      </c>
      <c r="C39" t="s">
        <v>1834</v>
      </c>
      <c r="D39" t="s">
        <v>36</v>
      </c>
      <c r="E39">
        <v>1550</v>
      </c>
      <c r="F39" t="s">
        <v>0</v>
      </c>
      <c r="G39" t="s">
        <v>1525</v>
      </c>
      <c r="H39" t="s">
        <v>1425</v>
      </c>
      <c r="I39" t="s">
        <v>1426</v>
      </c>
      <c r="J39" t="s">
        <v>1426</v>
      </c>
      <c r="M39" s="2">
        <v>1475</v>
      </c>
      <c r="N39" s="3" t="s">
        <v>1500</v>
      </c>
      <c r="O39">
        <v>96</v>
      </c>
      <c r="P39" t="str">
        <f t="shared" si="1"/>
        <v>RONDO ARNİCA RAPİD MİNİ</v>
      </c>
      <c r="Q39" s="1">
        <f t="shared" si="2"/>
        <v>3100</v>
      </c>
      <c r="R39" t="str">
        <f t="shared" si="3"/>
        <v>TL</v>
      </c>
      <c r="S39" t="str">
        <f t="shared" si="4"/>
        <v>KEA</v>
      </c>
      <c r="T39" t="str">
        <f t="shared" si="0"/>
        <v>kea</v>
      </c>
    </row>
    <row r="40" spans="1:20" x14ac:dyDescent="0.25">
      <c r="A40" t="s">
        <v>1422</v>
      </c>
      <c r="B40">
        <v>97</v>
      </c>
      <c r="C40" t="s">
        <v>1833</v>
      </c>
      <c r="D40" t="s">
        <v>37</v>
      </c>
      <c r="E40">
        <v>1700</v>
      </c>
      <c r="F40" t="s">
        <v>0</v>
      </c>
      <c r="G40" t="s">
        <v>1525</v>
      </c>
      <c r="H40" t="s">
        <v>1425</v>
      </c>
      <c r="I40" t="s">
        <v>1426</v>
      </c>
      <c r="J40" t="s">
        <v>1426</v>
      </c>
      <c r="M40" s="3">
        <v>1479</v>
      </c>
      <c r="N40" s="3" t="s">
        <v>1502</v>
      </c>
      <c r="O40">
        <v>97</v>
      </c>
      <c r="P40" t="str">
        <f t="shared" si="1"/>
        <v>RONDO ARNİCA RAPİD PLUS</v>
      </c>
      <c r="Q40" s="1">
        <f t="shared" si="2"/>
        <v>3400</v>
      </c>
      <c r="R40" t="str">
        <f t="shared" si="3"/>
        <v>TL</v>
      </c>
      <c r="S40" t="str">
        <f t="shared" si="4"/>
        <v>KEA</v>
      </c>
      <c r="T40" t="str">
        <f t="shared" si="0"/>
        <v>kea</v>
      </c>
    </row>
    <row r="41" spans="1:20" x14ac:dyDescent="0.25">
      <c r="A41" t="s">
        <v>1422</v>
      </c>
      <c r="B41">
        <v>98</v>
      </c>
      <c r="C41" t="s">
        <v>1832</v>
      </c>
      <c r="D41" t="s">
        <v>38</v>
      </c>
      <c r="E41">
        <v>2000</v>
      </c>
      <c r="F41" t="s">
        <v>0</v>
      </c>
      <c r="G41" t="s">
        <v>1525</v>
      </c>
      <c r="H41" t="s">
        <v>1425</v>
      </c>
      <c r="I41" t="s">
        <v>1426</v>
      </c>
      <c r="J41" t="s">
        <v>1426</v>
      </c>
      <c r="M41" s="2">
        <v>1508</v>
      </c>
      <c r="N41" s="3" t="s">
        <v>859</v>
      </c>
      <c r="O41">
        <v>98</v>
      </c>
      <c r="P41" t="str">
        <f t="shared" si="1"/>
        <v>RONDO ARNİCA RAPİD PRO</v>
      </c>
      <c r="Q41" s="1">
        <f t="shared" si="2"/>
        <v>4000</v>
      </c>
      <c r="R41" t="str">
        <f t="shared" si="3"/>
        <v>TL</v>
      </c>
      <c r="S41" t="str">
        <f t="shared" si="4"/>
        <v>KEA</v>
      </c>
      <c r="T41" t="str">
        <f t="shared" si="0"/>
        <v>kea</v>
      </c>
    </row>
    <row r="42" spans="1:20" x14ac:dyDescent="0.25">
      <c r="A42" t="s">
        <v>1422</v>
      </c>
      <c r="B42">
        <v>99</v>
      </c>
      <c r="C42" t="s">
        <v>1668</v>
      </c>
      <c r="D42" t="s">
        <v>39</v>
      </c>
      <c r="E42">
        <v>0</v>
      </c>
      <c r="F42" t="s">
        <v>0</v>
      </c>
      <c r="G42" t="s">
        <v>1525</v>
      </c>
      <c r="H42" t="s">
        <v>1425</v>
      </c>
      <c r="I42" t="s">
        <v>1426</v>
      </c>
      <c r="J42" t="s">
        <v>1426</v>
      </c>
      <c r="M42" s="2">
        <v>258</v>
      </c>
      <c r="N42" t="s">
        <v>1505</v>
      </c>
      <c r="O42">
        <v>99</v>
      </c>
      <c r="P42" t="str">
        <f t="shared" si="1"/>
        <v>SÜPÜRGE ARNİCA TAYFUN ISLAK KURU</v>
      </c>
      <c r="Q42" s="1">
        <f t="shared" si="2"/>
        <v>0</v>
      </c>
      <c r="R42" t="str">
        <f t="shared" si="3"/>
        <v>TL</v>
      </c>
      <c r="S42" t="str">
        <f t="shared" si="4"/>
        <v>KEA</v>
      </c>
      <c r="T42" t="str">
        <f t="shared" si="0"/>
        <v>kea</v>
      </c>
    </row>
    <row r="43" spans="1:20" x14ac:dyDescent="0.25">
      <c r="A43" t="s">
        <v>1422</v>
      </c>
      <c r="B43">
        <v>100</v>
      </c>
      <c r="C43" t="s">
        <v>1667</v>
      </c>
      <c r="D43" t="s">
        <v>40</v>
      </c>
      <c r="E43">
        <v>9625</v>
      </c>
      <c r="F43" t="s">
        <v>0</v>
      </c>
      <c r="G43" t="s">
        <v>1525</v>
      </c>
      <c r="H43" t="s">
        <v>1425</v>
      </c>
      <c r="I43" t="s">
        <v>1426</v>
      </c>
      <c r="J43" t="s">
        <v>1426</v>
      </c>
      <c r="M43" s="2">
        <v>673</v>
      </c>
      <c r="N43" s="3" t="s">
        <v>2619</v>
      </c>
      <c r="O43">
        <v>100</v>
      </c>
      <c r="P43" t="str">
        <f t="shared" si="1"/>
        <v>SÜPÜRGE ARNİCA TESLA PREMİUM TORBASIZ ET14300</v>
      </c>
      <c r="Q43" s="1">
        <f t="shared" si="2"/>
        <v>19250</v>
      </c>
      <c r="R43" t="str">
        <f t="shared" si="3"/>
        <v>TL</v>
      </c>
      <c r="S43" t="str">
        <f t="shared" si="4"/>
        <v>KEA</v>
      </c>
      <c r="T43" t="str">
        <f t="shared" si="0"/>
        <v>kea</v>
      </c>
    </row>
    <row r="44" spans="1:20" x14ac:dyDescent="0.25">
      <c r="A44" t="s">
        <v>1422</v>
      </c>
      <c r="B44">
        <v>101</v>
      </c>
      <c r="C44" t="s">
        <v>1666</v>
      </c>
      <c r="D44" t="s">
        <v>41</v>
      </c>
      <c r="E44">
        <v>8910</v>
      </c>
      <c r="F44" t="s">
        <v>0</v>
      </c>
      <c r="G44" t="s">
        <v>1525</v>
      </c>
      <c r="H44" t="s">
        <v>1425</v>
      </c>
      <c r="I44" t="s">
        <v>1426</v>
      </c>
      <c r="J44" t="s">
        <v>1426</v>
      </c>
      <c r="M44" s="2">
        <v>867</v>
      </c>
      <c r="N44" s="3" t="s">
        <v>2621</v>
      </c>
      <c r="O44">
        <v>101</v>
      </c>
      <c r="P44" t="str">
        <f t="shared" si="1"/>
        <v>SÜPÜRGE ARNİCA TESLA TOZ TORBASIZ ET14310</v>
      </c>
      <c r="Q44" s="1">
        <f t="shared" si="2"/>
        <v>17820</v>
      </c>
      <c r="R44" t="str">
        <f t="shared" si="3"/>
        <v>TL</v>
      </c>
      <c r="S44" t="str">
        <f t="shared" si="4"/>
        <v>KEA</v>
      </c>
      <c r="T44" t="str">
        <f t="shared" si="0"/>
        <v>kea</v>
      </c>
    </row>
    <row r="45" spans="1:20" x14ac:dyDescent="0.25">
      <c r="A45" t="s">
        <v>1422</v>
      </c>
      <c r="B45">
        <v>102</v>
      </c>
      <c r="C45" t="s">
        <v>1647</v>
      </c>
      <c r="D45" t="s">
        <v>808</v>
      </c>
      <c r="E45">
        <v>0</v>
      </c>
      <c r="F45" t="s">
        <v>0</v>
      </c>
      <c r="G45" t="s">
        <v>1525</v>
      </c>
      <c r="H45" t="s">
        <v>1425</v>
      </c>
      <c r="I45" t="s">
        <v>1426</v>
      </c>
      <c r="J45" t="s">
        <v>1426</v>
      </c>
      <c r="M45" s="2">
        <v>716</v>
      </c>
      <c r="N45" s="3" t="s">
        <v>2623</v>
      </c>
      <c r="O45">
        <v>102</v>
      </c>
      <c r="P45" t="str">
        <f t="shared" si="1"/>
        <v>SÜT MAKİNESİ ARSAN 140 LT ELEKTRİKLİ</v>
      </c>
      <c r="Q45" s="1">
        <f t="shared" si="2"/>
        <v>0</v>
      </c>
      <c r="R45" t="str">
        <f t="shared" si="3"/>
        <v>TL</v>
      </c>
      <c r="S45" t="str">
        <f t="shared" si="4"/>
        <v>KEA</v>
      </c>
      <c r="T45" t="str">
        <f t="shared" si="0"/>
        <v>kea</v>
      </c>
    </row>
    <row r="46" spans="1:20" x14ac:dyDescent="0.25">
      <c r="A46" t="s">
        <v>1422</v>
      </c>
      <c r="B46">
        <v>103</v>
      </c>
      <c r="C46" t="s">
        <v>1646</v>
      </c>
      <c r="D46" t="s">
        <v>42</v>
      </c>
      <c r="E46">
        <v>15000</v>
      </c>
      <c r="F46" t="s">
        <v>0</v>
      </c>
      <c r="G46" t="s">
        <v>1525</v>
      </c>
      <c r="H46" t="s">
        <v>1425</v>
      </c>
      <c r="I46" t="s">
        <v>1426</v>
      </c>
      <c r="J46" t="s">
        <v>1426</v>
      </c>
      <c r="O46">
        <v>103</v>
      </c>
      <c r="P46" t="str">
        <f t="shared" si="1"/>
        <v>SÜT MAKİNESİ ASYA 100 LT ELEKTRİKLİ</v>
      </c>
      <c r="Q46" s="1">
        <f t="shared" si="2"/>
        <v>30000</v>
      </c>
      <c r="R46" t="str">
        <f t="shared" si="3"/>
        <v>TL</v>
      </c>
      <c r="S46" t="str">
        <f t="shared" si="4"/>
        <v>KEA</v>
      </c>
      <c r="T46" t="str">
        <f t="shared" si="0"/>
        <v>kea</v>
      </c>
    </row>
    <row r="47" spans="1:20" x14ac:dyDescent="0.25">
      <c r="A47" t="s">
        <v>1422</v>
      </c>
      <c r="B47">
        <v>104</v>
      </c>
      <c r="C47" t="s">
        <v>1645</v>
      </c>
      <c r="D47" t="s">
        <v>43</v>
      </c>
      <c r="E47">
        <v>12100</v>
      </c>
      <c r="F47" t="s">
        <v>0</v>
      </c>
      <c r="G47" t="s">
        <v>1525</v>
      </c>
      <c r="H47" t="s">
        <v>1425</v>
      </c>
      <c r="I47" t="s">
        <v>1426</v>
      </c>
      <c r="J47" t="s">
        <v>1426</v>
      </c>
      <c r="O47">
        <v>104</v>
      </c>
      <c r="P47" t="str">
        <f t="shared" si="1"/>
        <v>SÜT MAKİNESİ ASYA 100 LÜK KOLLU</v>
      </c>
      <c r="Q47" s="1">
        <f t="shared" si="2"/>
        <v>24200</v>
      </c>
      <c r="R47" t="str">
        <f t="shared" si="3"/>
        <v>TL</v>
      </c>
      <c r="S47" t="str">
        <f t="shared" si="4"/>
        <v>KEA</v>
      </c>
      <c r="T47" t="str">
        <f t="shared" si="0"/>
        <v>kea</v>
      </c>
    </row>
    <row r="48" spans="1:20" x14ac:dyDescent="0.25">
      <c r="A48" t="s">
        <v>1422</v>
      </c>
      <c r="B48">
        <v>105</v>
      </c>
      <c r="C48" t="s">
        <v>1643</v>
      </c>
      <c r="D48" t="s">
        <v>44</v>
      </c>
      <c r="E48">
        <v>16100</v>
      </c>
      <c r="F48" t="s">
        <v>0</v>
      </c>
      <c r="G48" t="s">
        <v>1525</v>
      </c>
      <c r="H48" t="s">
        <v>1425</v>
      </c>
      <c r="I48" t="s">
        <v>1426</v>
      </c>
      <c r="J48" t="s">
        <v>1426</v>
      </c>
      <c r="O48">
        <v>105</v>
      </c>
      <c r="P48" t="str">
        <f t="shared" si="1"/>
        <v>SÜT MAKİNESİ ASYA 140 LT ELEKTRİKLİ</v>
      </c>
      <c r="Q48" s="1">
        <f t="shared" si="2"/>
        <v>32200</v>
      </c>
      <c r="R48" t="str">
        <f t="shared" si="3"/>
        <v>TL</v>
      </c>
      <c r="S48" t="str">
        <f t="shared" si="4"/>
        <v>KEA</v>
      </c>
      <c r="T48" t="str">
        <f t="shared" si="0"/>
        <v>kea</v>
      </c>
    </row>
    <row r="49" spans="1:20" x14ac:dyDescent="0.25">
      <c r="A49" t="s">
        <v>1422</v>
      </c>
      <c r="B49">
        <v>106</v>
      </c>
      <c r="C49" t="s">
        <v>1644</v>
      </c>
      <c r="D49" t="s">
        <v>45</v>
      </c>
      <c r="E49">
        <v>13250</v>
      </c>
      <c r="F49" t="s">
        <v>0</v>
      </c>
      <c r="G49" t="s">
        <v>1525</v>
      </c>
      <c r="H49" t="s">
        <v>1425</v>
      </c>
      <c r="I49" t="s">
        <v>1426</v>
      </c>
      <c r="J49" t="s">
        <v>1426</v>
      </c>
      <c r="O49">
        <v>106</v>
      </c>
      <c r="P49" t="str">
        <f t="shared" si="1"/>
        <v>SÜT MAKİNESİ ASYA 140 LIK KOLLU</v>
      </c>
      <c r="Q49" s="1">
        <f t="shared" si="2"/>
        <v>26500</v>
      </c>
      <c r="R49" t="str">
        <f t="shared" si="3"/>
        <v>TL</v>
      </c>
      <c r="S49" t="str">
        <f t="shared" si="4"/>
        <v>KEA</v>
      </c>
      <c r="T49" t="str">
        <f t="shared" si="0"/>
        <v>kea</v>
      </c>
    </row>
    <row r="50" spans="1:20" x14ac:dyDescent="0.25">
      <c r="A50" t="s">
        <v>1422</v>
      </c>
      <c r="B50">
        <v>107</v>
      </c>
      <c r="C50" t="s">
        <v>1642</v>
      </c>
      <c r="D50" t="s">
        <v>46</v>
      </c>
      <c r="E50">
        <v>12000</v>
      </c>
      <c r="F50" t="s">
        <v>0</v>
      </c>
      <c r="G50" t="s">
        <v>1525</v>
      </c>
      <c r="H50" t="s">
        <v>1425</v>
      </c>
      <c r="I50" t="s">
        <v>1426</v>
      </c>
      <c r="J50" t="s">
        <v>1426</v>
      </c>
      <c r="O50">
        <v>107</v>
      </c>
      <c r="P50" t="str">
        <f t="shared" si="1"/>
        <v>SÜT MAKİNESİ ASYA 85 LİK KOLLU</v>
      </c>
      <c r="Q50" s="1">
        <f t="shared" si="2"/>
        <v>24000</v>
      </c>
      <c r="R50" t="str">
        <f t="shared" si="3"/>
        <v>TL</v>
      </c>
      <c r="S50" t="str">
        <f t="shared" si="4"/>
        <v>KEA</v>
      </c>
      <c r="T50" t="str">
        <f t="shared" si="0"/>
        <v>kea</v>
      </c>
    </row>
    <row r="51" spans="1:20" x14ac:dyDescent="0.25">
      <c r="A51" t="s">
        <v>1422</v>
      </c>
      <c r="B51">
        <v>108</v>
      </c>
      <c r="C51" t="s">
        <v>1612</v>
      </c>
      <c r="D51" t="s">
        <v>47</v>
      </c>
      <c r="E51">
        <v>0</v>
      </c>
      <c r="F51" t="s">
        <v>0</v>
      </c>
      <c r="G51" t="s">
        <v>1525</v>
      </c>
      <c r="H51" t="s">
        <v>1425</v>
      </c>
      <c r="I51" t="s">
        <v>1426</v>
      </c>
      <c r="J51" t="s">
        <v>1426</v>
      </c>
      <c r="O51">
        <v>108</v>
      </c>
      <c r="P51" t="str">
        <f t="shared" si="1"/>
        <v>TOST MAKİNESİ AWOX - LİDER</v>
      </c>
      <c r="Q51" s="1">
        <f t="shared" si="2"/>
        <v>0</v>
      </c>
      <c r="R51" t="str">
        <f t="shared" si="3"/>
        <v>TL</v>
      </c>
      <c r="S51" t="str">
        <f t="shared" si="4"/>
        <v>KEA</v>
      </c>
      <c r="T51" t="str">
        <f t="shared" si="0"/>
        <v>kea</v>
      </c>
    </row>
    <row r="52" spans="1:20" x14ac:dyDescent="0.25">
      <c r="A52" t="s">
        <v>1422</v>
      </c>
      <c r="B52">
        <v>110</v>
      </c>
      <c r="C52" t="s">
        <v>1526</v>
      </c>
      <c r="D52" t="s">
        <v>48</v>
      </c>
      <c r="E52">
        <v>0</v>
      </c>
      <c r="F52" t="s">
        <v>0</v>
      </c>
      <c r="G52" t="s">
        <v>1525</v>
      </c>
      <c r="H52" t="s">
        <v>1425</v>
      </c>
      <c r="I52" t="s">
        <v>1426</v>
      </c>
      <c r="J52" t="s">
        <v>1426</v>
      </c>
      <c r="O52">
        <v>110</v>
      </c>
      <c r="P52" t="str">
        <f t="shared" si="1"/>
        <v>YEMEK TAKIMI BAMBUM 24 PARÇA</v>
      </c>
      <c r="Q52" s="1">
        <f t="shared" si="2"/>
        <v>0</v>
      </c>
      <c r="R52" t="str">
        <f t="shared" si="3"/>
        <v>TL</v>
      </c>
      <c r="S52" t="str">
        <f t="shared" si="4"/>
        <v>KEA</v>
      </c>
      <c r="T52" t="str">
        <f t="shared" si="0"/>
        <v>kea</v>
      </c>
    </row>
    <row r="53" spans="1:20" x14ac:dyDescent="0.25">
      <c r="A53" t="s">
        <v>1422</v>
      </c>
      <c r="B53">
        <v>111</v>
      </c>
      <c r="C53" t="s">
        <v>2215</v>
      </c>
      <c r="D53" t="s">
        <v>49</v>
      </c>
      <c r="E53">
        <v>1350</v>
      </c>
      <c r="F53" t="s">
        <v>0</v>
      </c>
      <c r="G53" t="s">
        <v>1525</v>
      </c>
      <c r="H53" t="s">
        <v>1425</v>
      </c>
      <c r="I53" t="s">
        <v>1426</v>
      </c>
      <c r="J53" t="s">
        <v>1426</v>
      </c>
      <c r="O53">
        <v>111</v>
      </c>
      <c r="P53" t="str">
        <f t="shared" si="1"/>
        <v>EPİLATÖR BRAUN 1170</v>
      </c>
      <c r="Q53" s="1">
        <f t="shared" si="2"/>
        <v>2700</v>
      </c>
      <c r="R53" t="str">
        <f t="shared" si="3"/>
        <v>TL</v>
      </c>
      <c r="S53" t="str">
        <f t="shared" si="4"/>
        <v>KEA</v>
      </c>
      <c r="T53" t="str">
        <f t="shared" si="0"/>
        <v>kea</v>
      </c>
    </row>
    <row r="54" spans="1:20" x14ac:dyDescent="0.25">
      <c r="A54" t="s">
        <v>1422</v>
      </c>
      <c r="B54">
        <v>112</v>
      </c>
      <c r="C54" t="s">
        <v>2214</v>
      </c>
      <c r="D54" t="s">
        <v>50</v>
      </c>
      <c r="E54">
        <v>1885</v>
      </c>
      <c r="F54" t="s">
        <v>0</v>
      </c>
      <c r="G54" t="s">
        <v>1525</v>
      </c>
      <c r="H54" t="s">
        <v>1425</v>
      </c>
      <c r="I54" t="s">
        <v>1426</v>
      </c>
      <c r="J54" t="s">
        <v>1426</v>
      </c>
      <c r="O54">
        <v>112</v>
      </c>
      <c r="P54" t="str">
        <f t="shared" si="1"/>
        <v>EPİLATÖR BRAUN SİLK EPİL 3 3170</v>
      </c>
      <c r="Q54" s="1">
        <f t="shared" si="2"/>
        <v>3770</v>
      </c>
      <c r="R54" t="str">
        <f t="shared" si="3"/>
        <v>TL</v>
      </c>
      <c r="S54" t="str">
        <f t="shared" si="4"/>
        <v>KEA</v>
      </c>
      <c r="T54" t="str">
        <f t="shared" si="0"/>
        <v>kea</v>
      </c>
    </row>
    <row r="55" spans="1:20" x14ac:dyDescent="0.25">
      <c r="A55" t="s">
        <v>1422</v>
      </c>
      <c r="B55">
        <v>113</v>
      </c>
      <c r="C55" t="s">
        <v>2213</v>
      </c>
      <c r="D55" t="s">
        <v>51</v>
      </c>
      <c r="E55">
        <v>0</v>
      </c>
      <c r="F55" t="s">
        <v>0</v>
      </c>
      <c r="G55" t="s">
        <v>1525</v>
      </c>
      <c r="H55" t="s">
        <v>1425</v>
      </c>
      <c r="I55" t="s">
        <v>1426</v>
      </c>
      <c r="J55" t="s">
        <v>1426</v>
      </c>
      <c r="O55">
        <v>113</v>
      </c>
      <c r="P55" t="str">
        <f t="shared" si="1"/>
        <v>EPİLATÖR BRAUN SİLK EPİL 3 3420</v>
      </c>
      <c r="Q55" s="1">
        <f t="shared" si="2"/>
        <v>0</v>
      </c>
      <c r="R55" t="str">
        <f t="shared" si="3"/>
        <v>TL</v>
      </c>
      <c r="S55" t="str">
        <f t="shared" si="4"/>
        <v>KEA</v>
      </c>
      <c r="T55" t="str">
        <f t="shared" si="0"/>
        <v>kea</v>
      </c>
    </row>
    <row r="56" spans="1:20" x14ac:dyDescent="0.25">
      <c r="A56" t="s">
        <v>1422</v>
      </c>
      <c r="B56">
        <v>116</v>
      </c>
      <c r="C56" t="s">
        <v>2100</v>
      </c>
      <c r="D56" t="s">
        <v>52</v>
      </c>
      <c r="E56">
        <v>500</v>
      </c>
      <c r="F56" t="s">
        <v>0</v>
      </c>
      <c r="G56" t="s">
        <v>1525</v>
      </c>
      <c r="H56" t="s">
        <v>1425</v>
      </c>
      <c r="I56" t="s">
        <v>1426</v>
      </c>
      <c r="J56" t="s">
        <v>1426</v>
      </c>
      <c r="O56">
        <v>116</v>
      </c>
      <c r="P56" t="str">
        <f t="shared" si="1"/>
        <v>KETTLE CONTİ AQUA ÇELİK</v>
      </c>
      <c r="Q56" s="1">
        <f t="shared" si="2"/>
        <v>1000</v>
      </c>
      <c r="R56" t="str">
        <f t="shared" si="3"/>
        <v>TL</v>
      </c>
      <c r="S56" t="str">
        <f t="shared" si="4"/>
        <v>KEA</v>
      </c>
      <c r="T56" t="str">
        <f t="shared" si="0"/>
        <v>kea</v>
      </c>
    </row>
    <row r="57" spans="1:20" x14ac:dyDescent="0.25">
      <c r="A57" t="s">
        <v>1422</v>
      </c>
      <c r="B57">
        <v>118</v>
      </c>
      <c r="C57" t="s">
        <v>2098</v>
      </c>
      <c r="D57" t="s">
        <v>53</v>
      </c>
      <c r="E57">
        <v>600</v>
      </c>
      <c r="F57" t="s">
        <v>0</v>
      </c>
      <c r="G57" t="s">
        <v>1525</v>
      </c>
      <c r="H57" t="s">
        <v>1425</v>
      </c>
      <c r="I57" t="s">
        <v>1426</v>
      </c>
      <c r="J57" t="s">
        <v>1426</v>
      </c>
      <c r="O57">
        <v>118</v>
      </c>
      <c r="P57" t="str">
        <f t="shared" si="1"/>
        <v>KETTLE CONTİ ÇELİK KETTLE AQUA RED</v>
      </c>
      <c r="Q57" s="1">
        <f t="shared" si="2"/>
        <v>1200</v>
      </c>
      <c r="R57" t="str">
        <f t="shared" si="3"/>
        <v>TL</v>
      </c>
      <c r="S57" t="str">
        <f t="shared" si="4"/>
        <v>KEA</v>
      </c>
      <c r="T57" t="str">
        <f t="shared" si="0"/>
        <v>kea</v>
      </c>
    </row>
    <row r="58" spans="1:20" x14ac:dyDescent="0.25">
      <c r="A58" t="s">
        <v>1422</v>
      </c>
      <c r="B58">
        <v>119</v>
      </c>
      <c r="C58" t="s">
        <v>2097</v>
      </c>
      <c r="D58" t="s">
        <v>54</v>
      </c>
      <c r="E58">
        <v>700</v>
      </c>
      <c r="F58" t="s">
        <v>0</v>
      </c>
      <c r="G58" t="s">
        <v>1525</v>
      </c>
      <c r="H58" t="s">
        <v>1425</v>
      </c>
      <c r="I58" t="s">
        <v>1426</v>
      </c>
      <c r="J58" t="s">
        <v>1426</v>
      </c>
      <c r="O58">
        <v>119</v>
      </c>
      <c r="P58" t="str">
        <f t="shared" si="1"/>
        <v>KETTLE CONTİ KRİSTAL ÇELİK KETTLE</v>
      </c>
      <c r="Q58" s="1">
        <f t="shared" si="2"/>
        <v>1400</v>
      </c>
      <c r="R58" t="str">
        <f t="shared" si="3"/>
        <v>TL</v>
      </c>
      <c r="S58" t="str">
        <f t="shared" si="4"/>
        <v>KEA</v>
      </c>
      <c r="T58" t="str">
        <f t="shared" si="0"/>
        <v>kea</v>
      </c>
    </row>
    <row r="59" spans="1:20" x14ac:dyDescent="0.25">
      <c r="A59" t="s">
        <v>1422</v>
      </c>
      <c r="B59">
        <v>120</v>
      </c>
      <c r="C59" t="s">
        <v>1611</v>
      </c>
      <c r="D59" t="s">
        <v>55</v>
      </c>
      <c r="E59">
        <v>2000</v>
      </c>
      <c r="F59" t="s">
        <v>0</v>
      </c>
      <c r="G59" t="s">
        <v>1525</v>
      </c>
      <c r="H59" t="s">
        <v>1425</v>
      </c>
      <c r="I59" t="s">
        <v>1426</v>
      </c>
      <c r="J59" t="s">
        <v>1426</v>
      </c>
      <c r="O59">
        <v>120</v>
      </c>
      <c r="P59" t="str">
        <f t="shared" si="1"/>
        <v>TOST MAKİNESİ CONTİ MAESTRO CG-210</v>
      </c>
      <c r="Q59" s="1">
        <f t="shared" si="2"/>
        <v>4000</v>
      </c>
      <c r="R59" t="str">
        <f t="shared" si="3"/>
        <v>TL</v>
      </c>
      <c r="S59" t="str">
        <f t="shared" si="4"/>
        <v>KEA</v>
      </c>
      <c r="T59" t="str">
        <f t="shared" si="0"/>
        <v>kea</v>
      </c>
    </row>
    <row r="60" spans="1:20" x14ac:dyDescent="0.25">
      <c r="A60" t="s">
        <v>1422</v>
      </c>
      <c r="B60">
        <v>123</v>
      </c>
      <c r="C60" t="s">
        <v>1660</v>
      </c>
      <c r="D60" t="s">
        <v>56</v>
      </c>
      <c r="E60">
        <v>3220</v>
      </c>
      <c r="F60" t="s">
        <v>0</v>
      </c>
      <c r="G60" t="s">
        <v>1525</v>
      </c>
      <c r="H60" t="s">
        <v>1425</v>
      </c>
      <c r="I60" t="s">
        <v>1426</v>
      </c>
      <c r="J60" t="s">
        <v>1426</v>
      </c>
      <c r="O60">
        <v>123</v>
      </c>
      <c r="P60" t="str">
        <f t="shared" si="1"/>
        <v>SÜPÜRGE CONTİ STARLİFE KABLO SARMALI</v>
      </c>
      <c r="Q60" s="1">
        <f t="shared" si="2"/>
        <v>6440</v>
      </c>
      <c r="R60" t="str">
        <f t="shared" si="3"/>
        <v>TL</v>
      </c>
      <c r="S60" t="str">
        <f t="shared" si="4"/>
        <v>KEA</v>
      </c>
      <c r="T60" t="str">
        <f t="shared" si="0"/>
        <v>kea</v>
      </c>
    </row>
    <row r="61" spans="1:20" x14ac:dyDescent="0.25">
      <c r="A61" t="s">
        <v>1422</v>
      </c>
      <c r="B61">
        <v>126</v>
      </c>
      <c r="C61" t="s">
        <v>1808</v>
      </c>
      <c r="D61" t="s">
        <v>57</v>
      </c>
      <c r="E61">
        <v>400</v>
      </c>
      <c r="F61" t="s">
        <v>0</v>
      </c>
      <c r="G61" t="s">
        <v>1525</v>
      </c>
      <c r="H61" t="s">
        <v>1425</v>
      </c>
      <c r="I61" t="s">
        <v>1426</v>
      </c>
      <c r="J61" t="s">
        <v>1426</v>
      </c>
      <c r="O61">
        <v>126</v>
      </c>
      <c r="P61" t="str">
        <f t="shared" si="1"/>
        <v>SAÇ MAŞA VE ŞEKİLLENDİRİCİ CONTİ TWİNY</v>
      </c>
      <c r="Q61" s="1">
        <f t="shared" si="2"/>
        <v>800</v>
      </c>
      <c r="R61" t="str">
        <f t="shared" si="3"/>
        <v>TL</v>
      </c>
      <c r="S61" t="str">
        <f t="shared" si="4"/>
        <v>KEA</v>
      </c>
      <c r="T61" t="str">
        <f t="shared" si="0"/>
        <v>kea</v>
      </c>
    </row>
    <row r="62" spans="1:20" x14ac:dyDescent="0.25">
      <c r="A62" t="s">
        <v>1422</v>
      </c>
      <c r="B62">
        <v>127</v>
      </c>
      <c r="C62" t="s">
        <v>1620</v>
      </c>
      <c r="D62" t="s">
        <v>58</v>
      </c>
      <c r="E62">
        <v>0</v>
      </c>
      <c r="F62" t="s">
        <v>0</v>
      </c>
      <c r="G62" t="s">
        <v>1525</v>
      </c>
      <c r="H62" t="s">
        <v>1425</v>
      </c>
      <c r="I62" t="s">
        <v>1426</v>
      </c>
      <c r="J62" t="s">
        <v>1426</v>
      </c>
      <c r="O62">
        <v>127</v>
      </c>
      <c r="P62" t="str">
        <f t="shared" si="1"/>
        <v>TERMOS COOKER 1,3 LT RENKLİ CAM</v>
      </c>
      <c r="Q62" s="1">
        <f t="shared" si="2"/>
        <v>0</v>
      </c>
      <c r="R62" t="str">
        <f t="shared" si="3"/>
        <v>TL</v>
      </c>
      <c r="S62" t="str">
        <f t="shared" si="4"/>
        <v>KEA</v>
      </c>
      <c r="T62" t="str">
        <f t="shared" si="0"/>
        <v>kea</v>
      </c>
    </row>
    <row r="63" spans="1:20" x14ac:dyDescent="0.25">
      <c r="A63" t="s">
        <v>1422</v>
      </c>
      <c r="B63">
        <v>128</v>
      </c>
      <c r="C63" t="s">
        <v>1591</v>
      </c>
      <c r="D63" t="s">
        <v>59</v>
      </c>
      <c r="E63">
        <v>1000</v>
      </c>
      <c r="F63" t="s">
        <v>0</v>
      </c>
      <c r="G63" t="s">
        <v>1525</v>
      </c>
      <c r="H63" t="s">
        <v>1425</v>
      </c>
      <c r="I63" t="s">
        <v>1426</v>
      </c>
      <c r="J63" t="s">
        <v>1426</v>
      </c>
      <c r="O63">
        <v>128</v>
      </c>
      <c r="P63" t="str">
        <f t="shared" si="1"/>
        <v>UFO CVS (2500W)</v>
      </c>
      <c r="Q63" s="1">
        <f t="shared" si="2"/>
        <v>2000</v>
      </c>
      <c r="R63" t="str">
        <f t="shared" si="3"/>
        <v>TL</v>
      </c>
      <c r="S63" t="str">
        <f t="shared" si="4"/>
        <v>KEA</v>
      </c>
      <c r="T63" t="str">
        <f t="shared" si="0"/>
        <v>kea</v>
      </c>
    </row>
    <row r="64" spans="1:20" x14ac:dyDescent="0.25">
      <c r="A64" t="s">
        <v>1422</v>
      </c>
      <c r="B64">
        <v>129</v>
      </c>
      <c r="C64" t="s">
        <v>2304</v>
      </c>
      <c r="D64" t="s">
        <v>60</v>
      </c>
      <c r="E64">
        <v>1150</v>
      </c>
      <c r="F64" t="s">
        <v>0</v>
      </c>
      <c r="G64" t="s">
        <v>1525</v>
      </c>
      <c r="H64" t="s">
        <v>1425</v>
      </c>
      <c r="I64" t="s">
        <v>1426</v>
      </c>
      <c r="J64" t="s">
        <v>1426</v>
      </c>
      <c r="O64">
        <v>129</v>
      </c>
      <c r="P64" t="str">
        <f t="shared" si="1"/>
        <v>BARBEKÜ CVS ALEVLİ</v>
      </c>
      <c r="Q64" s="1">
        <f t="shared" si="2"/>
        <v>2300</v>
      </c>
      <c r="R64" t="str">
        <f t="shared" si="3"/>
        <v>TL</v>
      </c>
      <c r="S64" t="str">
        <f t="shared" si="4"/>
        <v>KEA</v>
      </c>
      <c r="T64" t="str">
        <f t="shared" si="0"/>
        <v>kea</v>
      </c>
    </row>
    <row r="65" spans="1:20" x14ac:dyDescent="0.25">
      <c r="A65" t="s">
        <v>1422</v>
      </c>
      <c r="B65">
        <v>130</v>
      </c>
      <c r="C65" t="s">
        <v>1978</v>
      </c>
      <c r="D65" t="s">
        <v>61</v>
      </c>
      <c r="E65">
        <v>600</v>
      </c>
      <c r="F65" t="s">
        <v>0</v>
      </c>
      <c r="G65" t="s">
        <v>1525</v>
      </c>
      <c r="H65" t="s">
        <v>1425</v>
      </c>
      <c r="I65" t="s">
        <v>1426</v>
      </c>
      <c r="J65" t="s">
        <v>1426</v>
      </c>
      <c r="O65">
        <v>130</v>
      </c>
      <c r="P65" t="str">
        <f t="shared" si="1"/>
        <v>MİKSER CVS HANDMİX EL MİKSERİ</v>
      </c>
      <c r="Q65" s="1">
        <f t="shared" si="2"/>
        <v>1200</v>
      </c>
      <c r="R65" t="str">
        <f t="shared" si="3"/>
        <v>TL</v>
      </c>
      <c r="S65" t="str">
        <f t="shared" si="4"/>
        <v>KEA</v>
      </c>
      <c r="T65" t="str">
        <f t="shared" si="0"/>
        <v>kea</v>
      </c>
    </row>
    <row r="66" spans="1:20" x14ac:dyDescent="0.25">
      <c r="A66" t="s">
        <v>1422</v>
      </c>
      <c r="B66">
        <v>131</v>
      </c>
      <c r="C66" t="s">
        <v>2155</v>
      </c>
      <c r="D66" t="s">
        <v>819</v>
      </c>
      <c r="E66">
        <v>1200</v>
      </c>
      <c r="F66" t="s">
        <v>0</v>
      </c>
      <c r="G66" t="s">
        <v>1525</v>
      </c>
      <c r="H66" t="s">
        <v>1425</v>
      </c>
      <c r="I66" t="s">
        <v>1426</v>
      </c>
      <c r="J66" t="s">
        <v>1426</v>
      </c>
      <c r="O66">
        <v>131</v>
      </c>
      <c r="P66" t="str">
        <f t="shared" si="1"/>
        <v>KAHVE MAKİNESİ CVS HARMONİ DN19820</v>
      </c>
      <c r="Q66" s="1">
        <f t="shared" si="2"/>
        <v>2400</v>
      </c>
      <c r="R66" t="str">
        <f t="shared" si="3"/>
        <v>TL</v>
      </c>
      <c r="S66" t="str">
        <f t="shared" si="4"/>
        <v>KEA</v>
      </c>
      <c r="T66" t="str">
        <f t="shared" si="0"/>
        <v>kea</v>
      </c>
    </row>
    <row r="67" spans="1:20" x14ac:dyDescent="0.25">
      <c r="A67" t="s">
        <v>1422</v>
      </c>
      <c r="B67">
        <v>132</v>
      </c>
      <c r="C67" t="s">
        <v>2159</v>
      </c>
      <c r="D67" t="s">
        <v>62</v>
      </c>
      <c r="E67">
        <v>1200</v>
      </c>
      <c r="F67" t="s">
        <v>0</v>
      </c>
      <c r="G67" t="s">
        <v>1525</v>
      </c>
      <c r="H67" t="s">
        <v>1425</v>
      </c>
      <c r="I67" t="s">
        <v>1426</v>
      </c>
      <c r="J67" t="s">
        <v>1426</v>
      </c>
      <c r="O67">
        <v>132</v>
      </c>
      <c r="P67" t="str">
        <f t="shared" si="1"/>
        <v>IZGARA CVS KEBAPÇI ELEKTRİKLİ</v>
      </c>
      <c r="Q67" s="1">
        <f t="shared" si="2"/>
        <v>2400</v>
      </c>
      <c r="R67" t="str">
        <f t="shared" si="3"/>
        <v>TL</v>
      </c>
      <c r="S67" t="str">
        <f t="shared" si="4"/>
        <v>KEA</v>
      </c>
      <c r="T67" t="str">
        <f t="shared" ref="T67:T130" si="5">IF(S67="KEA","kea",IF(S67="MOBİLYA","mobilya",IF(S67="TÜP","tup",IF(S67="MASA-SAND-SEHPA-ZİGON","mssz",IF(S67="ENDÜSTRİYEL","endustriyel",IF(S67="YEDEK PARÇA","diger",""))))))</f>
        <v>kea</v>
      </c>
    </row>
    <row r="68" spans="1:20" x14ac:dyDescent="0.25">
      <c r="A68" t="s">
        <v>1422</v>
      </c>
      <c r="B68">
        <v>133</v>
      </c>
      <c r="C68" t="s">
        <v>2290</v>
      </c>
      <c r="D68" t="s">
        <v>63</v>
      </c>
      <c r="E68">
        <v>1500</v>
      </c>
      <c r="F68" t="s">
        <v>0</v>
      </c>
      <c r="G68" t="s">
        <v>1525</v>
      </c>
      <c r="H68" t="s">
        <v>1425</v>
      </c>
      <c r="I68" t="s">
        <v>1426</v>
      </c>
      <c r="J68" t="s">
        <v>1426</v>
      </c>
      <c r="O68">
        <v>133</v>
      </c>
      <c r="P68" t="str">
        <f t="shared" ref="P68:P131" si="6">IFERROR(VLOOKUP(O68,$M:$N,2,0), VLOOKUP(O68,$B:$D,3,0))</f>
        <v>BLENDER SET CVS MONOPLUS</v>
      </c>
      <c r="Q68" s="1">
        <f t="shared" ref="Q68:Q131" si="7">VLOOKUP(O68,$B:$E,4,0)*2</f>
        <v>3000</v>
      </c>
      <c r="R68" t="str">
        <f t="shared" ref="R68:R131" si="8">VLOOKUP(O68,$B:$F,5,0)</f>
        <v>TL</v>
      </c>
      <c r="S68" t="str">
        <f t="shared" ref="S68:S131" si="9">VLOOKUP(O68,$B:$G,6,0)</f>
        <v>KEA</v>
      </c>
      <c r="T68" t="str">
        <f t="shared" si="5"/>
        <v>kea</v>
      </c>
    </row>
    <row r="69" spans="1:20" x14ac:dyDescent="0.25">
      <c r="A69" t="s">
        <v>1422</v>
      </c>
      <c r="B69">
        <v>134</v>
      </c>
      <c r="C69" t="s">
        <v>2331</v>
      </c>
      <c r="D69" t="s">
        <v>64</v>
      </c>
      <c r="E69">
        <v>0</v>
      </c>
      <c r="F69" t="s">
        <v>0</v>
      </c>
      <c r="G69" t="s">
        <v>1525</v>
      </c>
      <c r="H69" t="s">
        <v>1425</v>
      </c>
      <c r="I69" t="s">
        <v>1426</v>
      </c>
      <c r="J69" t="s">
        <v>1426</v>
      </c>
      <c r="O69">
        <v>134</v>
      </c>
      <c r="P69" t="str">
        <f t="shared" si="6"/>
        <v>ANKASTRE SET CVS SİYAH CAM</v>
      </c>
      <c r="Q69" s="1">
        <f t="shared" si="7"/>
        <v>0</v>
      </c>
      <c r="R69" t="str">
        <f t="shared" si="8"/>
        <v>TL</v>
      </c>
      <c r="S69" t="str">
        <f t="shared" si="9"/>
        <v>KEA</v>
      </c>
      <c r="T69" t="str">
        <f t="shared" si="5"/>
        <v>kea</v>
      </c>
    </row>
    <row r="70" spans="1:20" x14ac:dyDescent="0.25">
      <c r="A70" t="s">
        <v>1422</v>
      </c>
      <c r="B70">
        <v>135</v>
      </c>
      <c r="C70" t="s">
        <v>2191</v>
      </c>
      <c r="D70" t="s">
        <v>65</v>
      </c>
      <c r="E70">
        <v>1700</v>
      </c>
      <c r="F70" t="s">
        <v>0</v>
      </c>
      <c r="G70" t="s">
        <v>1525</v>
      </c>
      <c r="H70" t="s">
        <v>1425</v>
      </c>
      <c r="I70" t="s">
        <v>1426</v>
      </c>
      <c r="J70" t="s">
        <v>1426</v>
      </c>
      <c r="O70">
        <v>135</v>
      </c>
      <c r="P70" t="str">
        <f t="shared" si="6"/>
        <v>FIRIN CVS TOPRAK YUVARLAK</v>
      </c>
      <c r="Q70" s="1">
        <f t="shared" si="7"/>
        <v>3400</v>
      </c>
      <c r="R70" t="str">
        <f t="shared" si="8"/>
        <v>TL</v>
      </c>
      <c r="S70" t="str">
        <f t="shared" si="9"/>
        <v>KEA</v>
      </c>
      <c r="T70" t="str">
        <f t="shared" si="5"/>
        <v>kea</v>
      </c>
    </row>
    <row r="71" spans="1:20" x14ac:dyDescent="0.25">
      <c r="A71" t="s">
        <v>1422</v>
      </c>
      <c r="B71">
        <v>136</v>
      </c>
      <c r="C71" t="s">
        <v>1854</v>
      </c>
      <c r="D71" t="s">
        <v>823</v>
      </c>
      <c r="E71">
        <v>500</v>
      </c>
      <c r="F71" t="s">
        <v>0</v>
      </c>
      <c r="G71" t="s">
        <v>1525</v>
      </c>
      <c r="H71" t="s">
        <v>1425</v>
      </c>
      <c r="I71" t="s">
        <v>1426</v>
      </c>
      <c r="J71" t="s">
        <v>1426</v>
      </c>
      <c r="O71">
        <v>136</v>
      </c>
      <c r="P71" t="str">
        <f t="shared" si="6"/>
        <v>QUARTZ SOBA DAİLMOND AYAK ALTI</v>
      </c>
      <c r="Q71" s="1">
        <f t="shared" si="7"/>
        <v>1000</v>
      </c>
      <c r="R71" t="str">
        <f t="shared" si="8"/>
        <v>TL</v>
      </c>
      <c r="S71" t="str">
        <f t="shared" si="9"/>
        <v>KEA</v>
      </c>
      <c r="T71" t="str">
        <f t="shared" si="5"/>
        <v>kea</v>
      </c>
    </row>
    <row r="72" spans="1:20" x14ac:dyDescent="0.25">
      <c r="A72" t="s">
        <v>1422</v>
      </c>
      <c r="B72">
        <v>138</v>
      </c>
      <c r="C72" t="s">
        <v>1980</v>
      </c>
      <c r="D72" t="s">
        <v>66</v>
      </c>
      <c r="E72">
        <v>3500</v>
      </c>
      <c r="F72" t="s">
        <v>0</v>
      </c>
      <c r="G72" t="s">
        <v>1525</v>
      </c>
      <c r="H72" t="s">
        <v>1425</v>
      </c>
      <c r="I72" t="s">
        <v>1426</v>
      </c>
      <c r="J72" t="s">
        <v>1426</v>
      </c>
      <c r="O72">
        <v>138</v>
      </c>
      <c r="P72" t="str">
        <f t="shared" si="6"/>
        <v>MİKRODALGA FIRIN DİJİTSU MD10 BEYAZ</v>
      </c>
      <c r="Q72" s="1">
        <f t="shared" si="7"/>
        <v>7000</v>
      </c>
      <c r="R72" t="str">
        <f t="shared" si="8"/>
        <v>TL</v>
      </c>
      <c r="S72" t="str">
        <f t="shared" si="9"/>
        <v>KEA</v>
      </c>
      <c r="T72" t="str">
        <f t="shared" si="5"/>
        <v>kea</v>
      </c>
    </row>
    <row r="73" spans="1:20" x14ac:dyDescent="0.25">
      <c r="A73" t="s">
        <v>1422</v>
      </c>
      <c r="B73">
        <v>139</v>
      </c>
      <c r="C73" t="s">
        <v>1979</v>
      </c>
      <c r="D73" t="s">
        <v>67</v>
      </c>
      <c r="E73">
        <v>3500</v>
      </c>
      <c r="F73" t="s">
        <v>0</v>
      </c>
      <c r="G73" t="s">
        <v>1525</v>
      </c>
      <c r="H73" t="s">
        <v>1425</v>
      </c>
      <c r="I73" t="s">
        <v>1426</v>
      </c>
      <c r="J73" t="s">
        <v>1426</v>
      </c>
      <c r="O73">
        <v>139</v>
      </c>
      <c r="P73" t="str">
        <f t="shared" si="6"/>
        <v>MİKRODALGA FIRIN DİJİTSU MD25 SİYAH</v>
      </c>
      <c r="Q73" s="1">
        <f t="shared" si="7"/>
        <v>7000</v>
      </c>
      <c r="R73" t="str">
        <f t="shared" si="8"/>
        <v>TL</v>
      </c>
      <c r="S73" t="str">
        <f t="shared" si="9"/>
        <v>KEA</v>
      </c>
      <c r="T73" t="str">
        <f t="shared" si="5"/>
        <v>kea</v>
      </c>
    </row>
    <row r="74" spans="1:20" x14ac:dyDescent="0.25">
      <c r="A74" t="s">
        <v>1422</v>
      </c>
      <c r="B74">
        <v>140</v>
      </c>
      <c r="C74" t="s">
        <v>2210</v>
      </c>
      <c r="D74" t="s">
        <v>68</v>
      </c>
      <c r="E74">
        <v>1250</v>
      </c>
      <c r="F74" t="s">
        <v>0</v>
      </c>
      <c r="G74" t="s">
        <v>1525</v>
      </c>
      <c r="H74" t="s">
        <v>1425</v>
      </c>
      <c r="I74" t="s">
        <v>1426</v>
      </c>
      <c r="J74" t="s">
        <v>1426</v>
      </c>
      <c r="O74">
        <v>140</v>
      </c>
      <c r="P74" t="str">
        <f t="shared" si="6"/>
        <v>EUROLİNE 4 LÜ OCAK</v>
      </c>
      <c r="Q74" s="1">
        <f t="shared" si="7"/>
        <v>2500</v>
      </c>
      <c r="R74" t="str">
        <f t="shared" si="8"/>
        <v>TL</v>
      </c>
      <c r="S74" t="str">
        <f t="shared" si="9"/>
        <v>KEA</v>
      </c>
      <c r="T74" t="str">
        <f t="shared" si="5"/>
        <v>kea</v>
      </c>
    </row>
    <row r="75" spans="1:20" x14ac:dyDescent="0.25">
      <c r="A75" t="s">
        <v>1422</v>
      </c>
      <c r="B75">
        <v>141</v>
      </c>
      <c r="C75" t="s">
        <v>1828</v>
      </c>
      <c r="D75" t="s">
        <v>69</v>
      </c>
      <c r="E75">
        <v>2000</v>
      </c>
      <c r="F75" t="s">
        <v>0</v>
      </c>
      <c r="G75" t="s">
        <v>1525</v>
      </c>
      <c r="H75" t="s">
        <v>1425</v>
      </c>
      <c r="I75" t="s">
        <v>1426</v>
      </c>
      <c r="J75" t="s">
        <v>1426</v>
      </c>
      <c r="O75">
        <v>141</v>
      </c>
      <c r="P75" t="str">
        <f t="shared" si="6"/>
        <v>SAÇ KESME MAKİNESİ FAKİR BOSSY</v>
      </c>
      <c r="Q75" s="1">
        <f t="shared" si="7"/>
        <v>4000</v>
      </c>
      <c r="R75" t="str">
        <f t="shared" si="8"/>
        <v>TL</v>
      </c>
      <c r="S75" t="str">
        <f t="shared" si="9"/>
        <v>KEA</v>
      </c>
      <c r="T75" t="str">
        <f t="shared" si="5"/>
        <v>kea</v>
      </c>
    </row>
    <row r="76" spans="1:20" x14ac:dyDescent="0.25">
      <c r="A76" t="s">
        <v>1422</v>
      </c>
      <c r="B76">
        <v>142</v>
      </c>
      <c r="C76" t="s">
        <v>1635</v>
      </c>
      <c r="D76" t="s">
        <v>70</v>
      </c>
      <c r="E76">
        <v>2500</v>
      </c>
      <c r="F76" t="s">
        <v>0</v>
      </c>
      <c r="G76" t="s">
        <v>1525</v>
      </c>
      <c r="H76" t="s">
        <v>1425</v>
      </c>
      <c r="I76" t="s">
        <v>1426</v>
      </c>
      <c r="J76" t="s">
        <v>1426</v>
      </c>
      <c r="O76">
        <v>142</v>
      </c>
      <c r="P76" t="str">
        <f t="shared" si="6"/>
        <v>ŞOFBEN FAKİR CALENTA ELEKTRİKLİ</v>
      </c>
      <c r="Q76" s="1">
        <f t="shared" si="7"/>
        <v>5000</v>
      </c>
      <c r="R76" t="str">
        <f t="shared" si="8"/>
        <v>TL</v>
      </c>
      <c r="S76" t="str">
        <f t="shared" si="9"/>
        <v>KEA</v>
      </c>
      <c r="T76" t="str">
        <f t="shared" si="5"/>
        <v>kea</v>
      </c>
    </row>
    <row r="77" spans="1:20" x14ac:dyDescent="0.25">
      <c r="A77" t="s">
        <v>1422</v>
      </c>
      <c r="B77">
        <v>145</v>
      </c>
      <c r="C77" t="s">
        <v>1806</v>
      </c>
      <c r="D77" t="s">
        <v>71</v>
      </c>
      <c r="E77">
        <v>1500</v>
      </c>
      <c r="F77" t="s">
        <v>0</v>
      </c>
      <c r="G77" t="s">
        <v>1525</v>
      </c>
      <c r="H77" t="s">
        <v>1425</v>
      </c>
      <c r="I77" t="s">
        <v>1426</v>
      </c>
      <c r="J77" t="s">
        <v>1426</v>
      </c>
      <c r="O77">
        <v>145</v>
      </c>
      <c r="P77" t="str">
        <f t="shared" si="6"/>
        <v>SAÇ MAŞASI FAKİR ESTELLE</v>
      </c>
      <c r="Q77" s="1">
        <f t="shared" si="7"/>
        <v>3000</v>
      </c>
      <c r="R77" t="str">
        <f t="shared" si="8"/>
        <v>TL</v>
      </c>
      <c r="S77" t="str">
        <f t="shared" si="9"/>
        <v>KEA</v>
      </c>
      <c r="T77" t="str">
        <f t="shared" si="5"/>
        <v>kea</v>
      </c>
    </row>
    <row r="78" spans="1:20" x14ac:dyDescent="0.25">
      <c r="A78" t="s">
        <v>1422</v>
      </c>
      <c r="B78">
        <v>146</v>
      </c>
      <c r="C78" t="s">
        <v>1821</v>
      </c>
      <c r="D78" t="s">
        <v>72</v>
      </c>
      <c r="E78">
        <v>1500</v>
      </c>
      <c r="F78" t="s">
        <v>0</v>
      </c>
      <c r="G78" t="s">
        <v>1525</v>
      </c>
      <c r="H78" t="s">
        <v>1425</v>
      </c>
      <c r="I78" t="s">
        <v>1426</v>
      </c>
      <c r="J78" t="s">
        <v>1426</v>
      </c>
      <c r="O78">
        <v>146</v>
      </c>
      <c r="P78" t="str">
        <f t="shared" si="6"/>
        <v>SAÇ KURUTMA MAKİNESİ FAKİR GLORİA</v>
      </c>
      <c r="Q78" s="1">
        <f t="shared" si="7"/>
        <v>3000</v>
      </c>
      <c r="R78" t="str">
        <f t="shared" si="8"/>
        <v>TL</v>
      </c>
      <c r="S78" t="str">
        <f t="shared" si="9"/>
        <v>KEA</v>
      </c>
      <c r="T78" t="str">
        <f t="shared" si="5"/>
        <v>kea</v>
      </c>
    </row>
    <row r="79" spans="1:20" x14ac:dyDescent="0.25">
      <c r="A79" t="s">
        <v>1422</v>
      </c>
      <c r="B79">
        <v>147</v>
      </c>
      <c r="C79" t="s">
        <v>1829</v>
      </c>
      <c r="D79" t="s">
        <v>73</v>
      </c>
      <c r="E79">
        <v>0</v>
      </c>
      <c r="F79" t="s">
        <v>0</v>
      </c>
      <c r="G79" t="s">
        <v>1525</v>
      </c>
      <c r="H79" t="s">
        <v>1425</v>
      </c>
      <c r="I79" t="s">
        <v>1426</v>
      </c>
      <c r="J79" t="s">
        <v>1426</v>
      </c>
      <c r="O79">
        <v>147</v>
      </c>
      <c r="P79" t="str">
        <f t="shared" si="6"/>
        <v>SAÇ DÜZLEŞTİCİ FAKİR HARVEY</v>
      </c>
      <c r="Q79" s="1">
        <f t="shared" si="7"/>
        <v>0</v>
      </c>
      <c r="R79" t="str">
        <f t="shared" si="8"/>
        <v>TL</v>
      </c>
      <c r="S79" t="str">
        <f t="shared" si="9"/>
        <v>KEA</v>
      </c>
      <c r="T79" t="str">
        <f t="shared" si="5"/>
        <v>kea</v>
      </c>
    </row>
    <row r="80" spans="1:20" x14ac:dyDescent="0.25">
      <c r="A80" t="s">
        <v>1422</v>
      </c>
      <c r="B80">
        <v>148</v>
      </c>
      <c r="C80" t="s">
        <v>1805</v>
      </c>
      <c r="D80" t="s">
        <v>74</v>
      </c>
      <c r="E80">
        <v>1500</v>
      </c>
      <c r="F80" t="s">
        <v>0</v>
      </c>
      <c r="G80" t="s">
        <v>1525</v>
      </c>
      <c r="H80" t="s">
        <v>1425</v>
      </c>
      <c r="I80" t="s">
        <v>1426</v>
      </c>
      <c r="J80" t="s">
        <v>1426</v>
      </c>
      <c r="O80">
        <v>148</v>
      </c>
      <c r="P80" t="str">
        <f t="shared" si="6"/>
        <v>SAÇ MAŞASI FAKİR HİEDRA</v>
      </c>
      <c r="Q80" s="1">
        <f t="shared" si="7"/>
        <v>3000</v>
      </c>
      <c r="R80" t="str">
        <f t="shared" si="8"/>
        <v>TL</v>
      </c>
      <c r="S80" t="str">
        <f t="shared" si="9"/>
        <v>KEA</v>
      </c>
      <c r="T80" t="str">
        <f t="shared" si="5"/>
        <v>kea</v>
      </c>
    </row>
    <row r="81" spans="1:20" x14ac:dyDescent="0.25">
      <c r="A81" t="s">
        <v>1422</v>
      </c>
      <c r="B81">
        <v>150</v>
      </c>
      <c r="C81" t="s">
        <v>2154</v>
      </c>
      <c r="D81" t="s">
        <v>820</v>
      </c>
      <c r="E81">
        <v>0</v>
      </c>
      <c r="F81" t="s">
        <v>0</v>
      </c>
      <c r="G81" t="s">
        <v>1525</v>
      </c>
      <c r="H81" t="s">
        <v>1425</v>
      </c>
      <c r="I81" t="s">
        <v>1426</v>
      </c>
      <c r="J81" t="s">
        <v>1426</v>
      </c>
      <c r="O81">
        <v>150</v>
      </c>
      <c r="P81" t="str">
        <f t="shared" si="6"/>
        <v>KAHVE MAKİNESİ FAKİR KAAVE PLUS</v>
      </c>
      <c r="Q81" s="1">
        <f t="shared" si="7"/>
        <v>0</v>
      </c>
      <c r="R81" t="str">
        <f t="shared" si="8"/>
        <v>TL</v>
      </c>
      <c r="S81" t="str">
        <f t="shared" si="9"/>
        <v>KEA</v>
      </c>
      <c r="T81" t="str">
        <f t="shared" si="5"/>
        <v>kea</v>
      </c>
    </row>
    <row r="82" spans="1:20" x14ac:dyDescent="0.25">
      <c r="A82" t="s">
        <v>1422</v>
      </c>
      <c r="B82">
        <v>151</v>
      </c>
      <c r="C82" t="s">
        <v>2166</v>
      </c>
      <c r="D82" t="s">
        <v>75</v>
      </c>
      <c r="E82">
        <v>0</v>
      </c>
      <c r="F82" t="s">
        <v>0</v>
      </c>
      <c r="G82" t="s">
        <v>1525</v>
      </c>
      <c r="H82" t="s">
        <v>1425</v>
      </c>
      <c r="I82" t="s">
        <v>1426</v>
      </c>
      <c r="J82" t="s">
        <v>1426</v>
      </c>
      <c r="O82">
        <v>151</v>
      </c>
      <c r="P82" t="str">
        <f t="shared" si="6"/>
        <v>HAMUR KARMA FAKİR MİXCHEF MUTFAK ŞEFİ</v>
      </c>
      <c r="Q82" s="1">
        <f t="shared" si="7"/>
        <v>0</v>
      </c>
      <c r="R82" t="str">
        <f t="shared" si="8"/>
        <v>TL</v>
      </c>
      <c r="S82" t="str">
        <f t="shared" si="9"/>
        <v>KEA</v>
      </c>
      <c r="T82" t="str">
        <f t="shared" si="5"/>
        <v>kea</v>
      </c>
    </row>
    <row r="83" spans="1:20" x14ac:dyDescent="0.25">
      <c r="A83" t="s">
        <v>1422</v>
      </c>
      <c r="B83">
        <v>152</v>
      </c>
      <c r="C83" t="s">
        <v>2289</v>
      </c>
      <c r="D83" t="s">
        <v>810</v>
      </c>
      <c r="E83">
        <v>3200</v>
      </c>
      <c r="F83" t="s">
        <v>0</v>
      </c>
      <c r="G83" t="s">
        <v>1525</v>
      </c>
      <c r="H83" t="s">
        <v>1425</v>
      </c>
      <c r="I83" t="s">
        <v>1426</v>
      </c>
      <c r="J83" t="s">
        <v>1426</v>
      </c>
      <c r="O83">
        <v>152</v>
      </c>
      <c r="P83" t="str">
        <f t="shared" si="6"/>
        <v>BLENDER SET FAKİR MR CHEFF QUADRO</v>
      </c>
      <c r="Q83" s="1">
        <f t="shared" si="7"/>
        <v>6400</v>
      </c>
      <c r="R83" t="str">
        <f t="shared" si="8"/>
        <v>TL</v>
      </c>
      <c r="S83" t="str">
        <f t="shared" si="9"/>
        <v>KEA</v>
      </c>
      <c r="T83" t="str">
        <f t="shared" si="5"/>
        <v>kea</v>
      </c>
    </row>
    <row r="84" spans="1:20" x14ac:dyDescent="0.25">
      <c r="A84" t="s">
        <v>1422</v>
      </c>
      <c r="B84">
        <v>153</v>
      </c>
      <c r="C84" t="s">
        <v>1820</v>
      </c>
      <c r="D84" t="s">
        <v>76</v>
      </c>
      <c r="E84">
        <v>1500</v>
      </c>
      <c r="F84" t="s">
        <v>0</v>
      </c>
      <c r="G84" t="s">
        <v>1525</v>
      </c>
      <c r="H84" t="s">
        <v>1425</v>
      </c>
      <c r="I84" t="s">
        <v>1426</v>
      </c>
      <c r="J84" t="s">
        <v>1426</v>
      </c>
      <c r="O84">
        <v>153</v>
      </c>
      <c r="P84" t="str">
        <f t="shared" si="6"/>
        <v>SAÇ KURUTMA MAKİNESİ FAKİR NOBLE</v>
      </c>
      <c r="Q84" s="1">
        <f t="shared" si="7"/>
        <v>3000</v>
      </c>
      <c r="R84" t="str">
        <f t="shared" si="8"/>
        <v>TL</v>
      </c>
      <c r="S84" t="str">
        <f t="shared" si="9"/>
        <v>KEA</v>
      </c>
      <c r="T84" t="str">
        <f t="shared" si="5"/>
        <v>kea</v>
      </c>
    </row>
    <row r="85" spans="1:20" x14ac:dyDescent="0.25">
      <c r="A85" t="s">
        <v>1422</v>
      </c>
      <c r="B85">
        <v>154</v>
      </c>
      <c r="C85" t="s">
        <v>2302</v>
      </c>
      <c r="D85" t="s">
        <v>77</v>
      </c>
      <c r="E85">
        <v>0</v>
      </c>
      <c r="F85" t="s">
        <v>0</v>
      </c>
      <c r="G85" t="s">
        <v>1525</v>
      </c>
      <c r="H85" t="s">
        <v>1425</v>
      </c>
      <c r="I85" t="s">
        <v>1426</v>
      </c>
      <c r="J85" t="s">
        <v>1426</v>
      </c>
      <c r="O85">
        <v>154</v>
      </c>
      <c r="P85" t="str">
        <f t="shared" si="6"/>
        <v>BASKÜL FAKİR NORA CAM</v>
      </c>
      <c r="Q85" s="1">
        <f t="shared" si="7"/>
        <v>0</v>
      </c>
      <c r="R85" t="str">
        <f t="shared" si="8"/>
        <v>TL</v>
      </c>
      <c r="S85" t="str">
        <f t="shared" si="9"/>
        <v>KEA</v>
      </c>
      <c r="T85" t="str">
        <f t="shared" si="5"/>
        <v>kea</v>
      </c>
    </row>
    <row r="86" spans="1:20" x14ac:dyDescent="0.25">
      <c r="A86" t="s">
        <v>1422</v>
      </c>
      <c r="B86">
        <v>155</v>
      </c>
      <c r="C86" t="s">
        <v>1634</v>
      </c>
      <c r="D86" t="s">
        <v>817</v>
      </c>
      <c r="E86">
        <v>2875</v>
      </c>
      <c r="F86" t="s">
        <v>0</v>
      </c>
      <c r="G86" t="s">
        <v>1525</v>
      </c>
      <c r="H86" t="s">
        <v>1425</v>
      </c>
      <c r="I86" t="s">
        <v>1426</v>
      </c>
      <c r="J86" t="s">
        <v>1426</v>
      </c>
      <c r="O86">
        <v>155</v>
      </c>
      <c r="P86" t="str">
        <f t="shared" si="6"/>
        <v>ŞOFBEN FAKİR OLYMPUS THERMO ELEKTRİK</v>
      </c>
      <c r="Q86" s="1">
        <f t="shared" si="7"/>
        <v>5750</v>
      </c>
      <c r="R86" t="str">
        <f t="shared" si="8"/>
        <v>TL</v>
      </c>
      <c r="S86" t="str">
        <f t="shared" si="9"/>
        <v>KEA</v>
      </c>
      <c r="T86" t="str">
        <f t="shared" si="5"/>
        <v>kea</v>
      </c>
    </row>
    <row r="87" spans="1:20" x14ac:dyDescent="0.25">
      <c r="A87" t="s">
        <v>1422</v>
      </c>
      <c r="B87">
        <v>157</v>
      </c>
      <c r="C87" t="s">
        <v>1822</v>
      </c>
      <c r="D87" t="s">
        <v>78</v>
      </c>
      <c r="E87">
        <v>1500</v>
      </c>
      <c r="F87" t="s">
        <v>0</v>
      </c>
      <c r="G87" t="s">
        <v>1525</v>
      </c>
      <c r="H87" t="s">
        <v>1425</v>
      </c>
      <c r="I87" t="s">
        <v>1426</v>
      </c>
      <c r="J87" t="s">
        <v>1426</v>
      </c>
      <c r="O87">
        <v>157</v>
      </c>
      <c r="P87" t="str">
        <f t="shared" si="6"/>
        <v>SAÇ KURUTMA MAKİNESİ FAKİR BRİSE</v>
      </c>
      <c r="Q87" s="1">
        <f t="shared" si="7"/>
        <v>3000</v>
      </c>
      <c r="R87" t="str">
        <f t="shared" si="8"/>
        <v>TL</v>
      </c>
      <c r="S87" t="str">
        <f t="shared" si="9"/>
        <v>KEA</v>
      </c>
      <c r="T87" t="str">
        <f t="shared" si="5"/>
        <v>kea</v>
      </c>
    </row>
    <row r="88" spans="1:20" x14ac:dyDescent="0.25">
      <c r="A88" t="s">
        <v>1422</v>
      </c>
      <c r="B88">
        <v>158</v>
      </c>
      <c r="C88" t="s">
        <v>1823</v>
      </c>
      <c r="D88" t="s">
        <v>79</v>
      </c>
      <c r="E88">
        <v>1550</v>
      </c>
      <c r="F88" t="s">
        <v>0</v>
      </c>
      <c r="G88" t="s">
        <v>1525</v>
      </c>
      <c r="H88" t="s">
        <v>1425</v>
      </c>
      <c r="I88" t="s">
        <v>1426</v>
      </c>
      <c r="J88" t="s">
        <v>1426</v>
      </c>
      <c r="O88">
        <v>158</v>
      </c>
      <c r="P88" t="str">
        <f t="shared" si="6"/>
        <v>SAÇ KURUTMA MAKİNESİ FAKİR ANGELİCA</v>
      </c>
      <c r="Q88" s="1">
        <f t="shared" si="7"/>
        <v>3100</v>
      </c>
      <c r="R88" t="str">
        <f t="shared" si="8"/>
        <v>TL</v>
      </c>
      <c r="S88" t="str">
        <f t="shared" si="9"/>
        <v>KEA</v>
      </c>
      <c r="T88" t="str">
        <f t="shared" si="5"/>
        <v>kea</v>
      </c>
    </row>
    <row r="89" spans="1:20" x14ac:dyDescent="0.25">
      <c r="A89" t="s">
        <v>1422</v>
      </c>
      <c r="B89">
        <v>159</v>
      </c>
      <c r="C89" t="s">
        <v>1819</v>
      </c>
      <c r="D89" t="s">
        <v>80</v>
      </c>
      <c r="E89">
        <v>1500</v>
      </c>
      <c r="F89" t="s">
        <v>0</v>
      </c>
      <c r="G89" t="s">
        <v>1525</v>
      </c>
      <c r="H89" t="s">
        <v>1425</v>
      </c>
      <c r="I89" t="s">
        <v>1426</v>
      </c>
      <c r="J89" t="s">
        <v>1426</v>
      </c>
      <c r="O89">
        <v>159</v>
      </c>
      <c r="P89" t="str">
        <f t="shared" si="6"/>
        <v>SAÇ KURUTMA MAKİNESİ FAKİR NORTE</v>
      </c>
      <c r="Q89" s="1">
        <f t="shared" si="7"/>
        <v>3000</v>
      </c>
      <c r="R89" t="str">
        <f t="shared" si="8"/>
        <v>TL</v>
      </c>
      <c r="S89" t="str">
        <f t="shared" si="9"/>
        <v>KEA</v>
      </c>
      <c r="T89" t="str">
        <f t="shared" si="5"/>
        <v>kea</v>
      </c>
    </row>
    <row r="90" spans="1:20" x14ac:dyDescent="0.25">
      <c r="A90" t="s">
        <v>1422</v>
      </c>
      <c r="B90">
        <v>164</v>
      </c>
      <c r="C90" t="s">
        <v>1659</v>
      </c>
      <c r="D90" t="s">
        <v>81</v>
      </c>
      <c r="E90">
        <v>5950</v>
      </c>
      <c r="F90" t="s">
        <v>0</v>
      </c>
      <c r="G90" t="s">
        <v>1525</v>
      </c>
      <c r="H90" t="s">
        <v>1425</v>
      </c>
      <c r="I90" t="s">
        <v>1426</v>
      </c>
      <c r="J90" t="s">
        <v>1426</v>
      </c>
      <c r="O90">
        <v>164</v>
      </c>
      <c r="P90" t="str">
        <f t="shared" si="6"/>
        <v>SÜPÜRGE FAKİR RANGER ELECTRONİK</v>
      </c>
      <c r="Q90" s="1">
        <f t="shared" si="7"/>
        <v>11900</v>
      </c>
      <c r="R90" t="str">
        <f t="shared" si="8"/>
        <v>TL</v>
      </c>
      <c r="S90" t="str">
        <f t="shared" si="9"/>
        <v>KEA</v>
      </c>
      <c r="T90" t="str">
        <f t="shared" si="5"/>
        <v>kea</v>
      </c>
    </row>
    <row r="91" spans="1:20" x14ac:dyDescent="0.25">
      <c r="A91" t="s">
        <v>1422</v>
      </c>
      <c r="B91">
        <v>165</v>
      </c>
      <c r="C91" t="s">
        <v>1665</v>
      </c>
      <c r="D91" t="s">
        <v>811</v>
      </c>
      <c r="E91">
        <v>2000</v>
      </c>
      <c r="F91" t="s">
        <v>0</v>
      </c>
      <c r="G91" t="s">
        <v>1525</v>
      </c>
      <c r="H91" t="s">
        <v>1425</v>
      </c>
      <c r="I91" t="s">
        <v>1426</v>
      </c>
      <c r="J91" t="s">
        <v>1426</v>
      </c>
      <c r="O91">
        <v>165</v>
      </c>
      <c r="P91" t="str">
        <f t="shared" si="6"/>
        <v>SÜPÜRGE BASTON FAKİR REMATRİX</v>
      </c>
      <c r="Q91" s="1">
        <f t="shared" si="7"/>
        <v>4000</v>
      </c>
      <c r="R91" t="str">
        <f t="shared" si="8"/>
        <v>TL</v>
      </c>
      <c r="S91" t="str">
        <f t="shared" si="9"/>
        <v>KEA</v>
      </c>
      <c r="T91" t="str">
        <f t="shared" si="5"/>
        <v>kea</v>
      </c>
    </row>
    <row r="92" spans="1:20" x14ac:dyDescent="0.25">
      <c r="A92" t="s">
        <v>1422</v>
      </c>
      <c r="B92">
        <v>166</v>
      </c>
      <c r="C92" t="s">
        <v>1664</v>
      </c>
      <c r="D92" t="s">
        <v>812</v>
      </c>
      <c r="E92">
        <v>2600</v>
      </c>
      <c r="F92" t="s">
        <v>0</v>
      </c>
      <c r="G92" t="s">
        <v>1525</v>
      </c>
      <c r="H92" t="s">
        <v>1425</v>
      </c>
      <c r="I92" t="s">
        <v>1426</v>
      </c>
      <c r="J92" t="s">
        <v>1426</v>
      </c>
      <c r="O92">
        <v>166</v>
      </c>
      <c r="P92" t="str">
        <f t="shared" si="6"/>
        <v>SÜPÜRGE BASTON FAKİR RODY</v>
      </c>
      <c r="Q92" s="1">
        <f t="shared" si="7"/>
        <v>5200</v>
      </c>
      <c r="R92" t="str">
        <f t="shared" si="8"/>
        <v>TL</v>
      </c>
      <c r="S92" t="str">
        <f t="shared" si="9"/>
        <v>KEA</v>
      </c>
      <c r="T92" t="str">
        <f t="shared" si="5"/>
        <v>kea</v>
      </c>
    </row>
    <row r="93" spans="1:20" x14ac:dyDescent="0.25">
      <c r="A93" t="s">
        <v>1422</v>
      </c>
      <c r="B93">
        <v>167</v>
      </c>
      <c r="C93" t="s">
        <v>1658</v>
      </c>
      <c r="D93" t="s">
        <v>82</v>
      </c>
      <c r="E93">
        <v>7500</v>
      </c>
      <c r="F93" t="s">
        <v>0</v>
      </c>
      <c r="G93" t="s">
        <v>1525</v>
      </c>
      <c r="H93" t="s">
        <v>1425</v>
      </c>
      <c r="I93" t="s">
        <v>1426</v>
      </c>
      <c r="J93" t="s">
        <v>1426</v>
      </c>
      <c r="O93">
        <v>167</v>
      </c>
      <c r="P93" t="str">
        <f t="shared" si="6"/>
        <v>SÜPÜRGE FAKİR VEYRON PRO</v>
      </c>
      <c r="Q93" s="1">
        <f t="shared" si="7"/>
        <v>15000</v>
      </c>
      <c r="R93" t="str">
        <f t="shared" si="8"/>
        <v>TL</v>
      </c>
      <c r="S93" t="str">
        <f t="shared" si="9"/>
        <v>KEA</v>
      </c>
      <c r="T93" t="str">
        <f t="shared" si="5"/>
        <v>kea</v>
      </c>
    </row>
    <row r="94" spans="1:20" x14ac:dyDescent="0.25">
      <c r="A94" t="s">
        <v>1422</v>
      </c>
      <c r="B94">
        <v>169</v>
      </c>
      <c r="C94" t="s">
        <v>2295</v>
      </c>
      <c r="D94" t="s">
        <v>83</v>
      </c>
      <c r="E94">
        <v>1925</v>
      </c>
      <c r="F94" t="s">
        <v>0</v>
      </c>
      <c r="G94" t="s">
        <v>1525</v>
      </c>
      <c r="H94" t="s">
        <v>1425</v>
      </c>
      <c r="I94" t="s">
        <v>1426</v>
      </c>
      <c r="J94" t="s">
        <v>1426</v>
      </c>
      <c r="O94">
        <v>169</v>
      </c>
      <c r="P94" t="str">
        <f t="shared" si="6"/>
        <v>BLENDER FAKİR TRİNİTY 3 LÜ SET</v>
      </c>
      <c r="Q94" s="1">
        <f t="shared" si="7"/>
        <v>3850</v>
      </c>
      <c r="R94" t="str">
        <f t="shared" si="8"/>
        <v>TL</v>
      </c>
      <c r="S94" t="str">
        <f t="shared" si="9"/>
        <v>KEA</v>
      </c>
      <c r="T94" t="str">
        <f t="shared" si="5"/>
        <v>kea</v>
      </c>
    </row>
    <row r="95" spans="1:20" x14ac:dyDescent="0.25">
      <c r="A95" t="s">
        <v>1422</v>
      </c>
      <c r="B95">
        <v>170</v>
      </c>
      <c r="C95" t="s">
        <v>1577</v>
      </c>
      <c r="D95" t="s">
        <v>84</v>
      </c>
      <c r="E95">
        <v>2700</v>
      </c>
      <c r="F95" t="s">
        <v>0</v>
      </c>
      <c r="G95" t="s">
        <v>1525</v>
      </c>
      <c r="H95" t="s">
        <v>1425</v>
      </c>
      <c r="I95" t="s">
        <v>1426</v>
      </c>
      <c r="J95" t="s">
        <v>1426</v>
      </c>
      <c r="O95">
        <v>170</v>
      </c>
      <c r="P95" t="str">
        <f t="shared" si="6"/>
        <v>ÜTÜ FAKİR FLYJET</v>
      </c>
      <c r="Q95" s="1">
        <f t="shared" si="7"/>
        <v>5400</v>
      </c>
      <c r="R95" t="str">
        <f t="shared" si="8"/>
        <v>TL</v>
      </c>
      <c r="S95" t="str">
        <f t="shared" si="9"/>
        <v>KEA</v>
      </c>
      <c r="T95" t="str">
        <f t="shared" si="5"/>
        <v>kea</v>
      </c>
    </row>
    <row r="96" spans="1:20" x14ac:dyDescent="0.25">
      <c r="A96" t="s">
        <v>1422</v>
      </c>
      <c r="B96">
        <v>172</v>
      </c>
      <c r="C96" t="s">
        <v>1576</v>
      </c>
      <c r="D96" t="s">
        <v>85</v>
      </c>
      <c r="E96">
        <v>2500</v>
      </c>
      <c r="F96" t="s">
        <v>0</v>
      </c>
      <c r="G96" t="s">
        <v>1525</v>
      </c>
      <c r="H96" t="s">
        <v>1425</v>
      </c>
      <c r="I96" t="s">
        <v>1426</v>
      </c>
      <c r="J96" t="s">
        <v>1426</v>
      </c>
      <c r="O96">
        <v>172</v>
      </c>
      <c r="P96" t="str">
        <f t="shared" si="6"/>
        <v>ÜTÜ FAKİR GALAXİS 2200W</v>
      </c>
      <c r="Q96" s="1">
        <f t="shared" si="7"/>
        <v>5000</v>
      </c>
      <c r="R96" t="str">
        <f t="shared" si="8"/>
        <v>TL</v>
      </c>
      <c r="S96" t="str">
        <f t="shared" si="9"/>
        <v>KEA</v>
      </c>
      <c r="T96" t="str">
        <f t="shared" si="5"/>
        <v>kea</v>
      </c>
    </row>
    <row r="97" spans="1:20" x14ac:dyDescent="0.25">
      <c r="A97" t="s">
        <v>1422</v>
      </c>
      <c r="B97">
        <v>175</v>
      </c>
      <c r="C97" t="s">
        <v>1574</v>
      </c>
      <c r="D97" t="s">
        <v>86</v>
      </c>
      <c r="E97">
        <v>2250</v>
      </c>
      <c r="F97" t="s">
        <v>0</v>
      </c>
      <c r="G97" t="s">
        <v>1525</v>
      </c>
      <c r="H97" t="s">
        <v>1425</v>
      </c>
      <c r="I97" t="s">
        <v>1426</v>
      </c>
      <c r="J97" t="s">
        <v>1426</v>
      </c>
      <c r="O97">
        <v>175</v>
      </c>
      <c r="P97" t="str">
        <f t="shared" si="6"/>
        <v>ÜTÜ FAKİR SPRİNG GÜL KURUSU</v>
      </c>
      <c r="Q97" s="1">
        <f t="shared" si="7"/>
        <v>4500</v>
      </c>
      <c r="R97" t="str">
        <f t="shared" si="8"/>
        <v>TL</v>
      </c>
      <c r="S97" t="str">
        <f t="shared" si="9"/>
        <v>KEA</v>
      </c>
      <c r="T97" t="str">
        <f t="shared" si="5"/>
        <v>kea</v>
      </c>
    </row>
    <row r="98" spans="1:20" x14ac:dyDescent="0.25">
      <c r="A98" t="s">
        <v>1422</v>
      </c>
      <c r="B98">
        <v>177</v>
      </c>
      <c r="C98" t="s">
        <v>1573</v>
      </c>
      <c r="D98" t="s">
        <v>87</v>
      </c>
      <c r="E98">
        <v>5250</v>
      </c>
      <c r="F98" t="s">
        <v>0</v>
      </c>
      <c r="G98" t="s">
        <v>1525</v>
      </c>
      <c r="H98" t="s">
        <v>1425</v>
      </c>
      <c r="I98" t="s">
        <v>1426</v>
      </c>
      <c r="J98" t="s">
        <v>1426</v>
      </c>
      <c r="O98">
        <v>177</v>
      </c>
      <c r="P98" t="str">
        <f t="shared" si="6"/>
        <v>ÜTÜ FAKİR VETACARE BUHAR JENARATÖRLÜ</v>
      </c>
      <c r="Q98" s="1">
        <f t="shared" si="7"/>
        <v>10500</v>
      </c>
      <c r="R98" t="str">
        <f t="shared" si="8"/>
        <v>TL</v>
      </c>
      <c r="S98" t="str">
        <f t="shared" si="9"/>
        <v>KEA</v>
      </c>
      <c r="T98" t="str">
        <f t="shared" si="5"/>
        <v>kea</v>
      </c>
    </row>
    <row r="99" spans="1:20" x14ac:dyDescent="0.25">
      <c r="A99" t="s">
        <v>1422</v>
      </c>
      <c r="B99">
        <v>179</v>
      </c>
      <c r="C99" t="s">
        <v>1657</v>
      </c>
      <c r="D99" t="s">
        <v>88</v>
      </c>
      <c r="E99">
        <v>0</v>
      </c>
      <c r="F99" t="s">
        <v>0</v>
      </c>
      <c r="G99" t="s">
        <v>1525</v>
      </c>
      <c r="H99" t="s">
        <v>1425</v>
      </c>
      <c r="I99" t="s">
        <v>1426</v>
      </c>
      <c r="J99" t="s">
        <v>1426</v>
      </c>
      <c r="O99">
        <v>179</v>
      </c>
      <c r="P99" t="str">
        <f t="shared" si="6"/>
        <v>SÜPÜRGE FANTOM 2700 ISLAK KURU</v>
      </c>
      <c r="Q99" s="1">
        <f t="shared" si="7"/>
        <v>0</v>
      </c>
      <c r="R99" t="str">
        <f t="shared" si="8"/>
        <v>TL</v>
      </c>
      <c r="S99" t="str">
        <f t="shared" si="9"/>
        <v>KEA</v>
      </c>
      <c r="T99" t="str">
        <f t="shared" si="5"/>
        <v>kea</v>
      </c>
    </row>
    <row r="100" spans="1:20" x14ac:dyDescent="0.25">
      <c r="A100" t="s">
        <v>1422</v>
      </c>
      <c r="B100">
        <v>180</v>
      </c>
      <c r="C100" t="s">
        <v>1656</v>
      </c>
      <c r="D100" t="s">
        <v>89</v>
      </c>
      <c r="E100">
        <v>3375</v>
      </c>
      <c r="F100" t="s">
        <v>0</v>
      </c>
      <c r="G100" t="s">
        <v>1525</v>
      </c>
      <c r="H100" t="s">
        <v>1425</v>
      </c>
      <c r="I100" t="s">
        <v>1426</v>
      </c>
      <c r="J100" t="s">
        <v>1426</v>
      </c>
      <c r="O100">
        <v>180</v>
      </c>
      <c r="P100" t="str">
        <f t="shared" si="6"/>
        <v>SÜPÜRGE FANTOM ECO WD 2750-S</v>
      </c>
      <c r="Q100" s="1">
        <f t="shared" si="7"/>
        <v>6750</v>
      </c>
      <c r="R100" t="str">
        <f t="shared" si="8"/>
        <v>TL</v>
      </c>
      <c r="S100" t="str">
        <f t="shared" si="9"/>
        <v>KEA</v>
      </c>
      <c r="T100" t="str">
        <f t="shared" si="5"/>
        <v>kea</v>
      </c>
    </row>
    <row r="101" spans="1:20" x14ac:dyDescent="0.25">
      <c r="A101" t="s">
        <v>1422</v>
      </c>
      <c r="B101">
        <v>182</v>
      </c>
      <c r="C101" t="s">
        <v>1663</v>
      </c>
      <c r="D101" t="s">
        <v>813</v>
      </c>
      <c r="E101">
        <v>2250</v>
      </c>
      <c r="F101" t="s">
        <v>0</v>
      </c>
      <c r="G101" t="s">
        <v>1525</v>
      </c>
      <c r="H101" t="s">
        <v>1425</v>
      </c>
      <c r="I101" t="s">
        <v>1426</v>
      </c>
      <c r="J101" t="s">
        <v>1426</v>
      </c>
      <c r="O101">
        <v>182</v>
      </c>
      <c r="P101" t="str">
        <f t="shared" si="6"/>
        <v>SÜPÜRGE BASTON FANTOM MAGIC P3000</v>
      </c>
      <c r="Q101" s="1">
        <f t="shared" si="7"/>
        <v>4500</v>
      </c>
      <c r="R101" t="str">
        <f t="shared" si="8"/>
        <v>TL</v>
      </c>
      <c r="S101" t="str">
        <f t="shared" si="9"/>
        <v>KEA</v>
      </c>
      <c r="T101" t="str">
        <f t="shared" si="5"/>
        <v>kea</v>
      </c>
    </row>
    <row r="102" spans="1:20" x14ac:dyDescent="0.25">
      <c r="A102" t="s">
        <v>1422</v>
      </c>
      <c r="B102">
        <v>186</v>
      </c>
      <c r="C102" t="s">
        <v>2202</v>
      </c>
      <c r="D102" t="s">
        <v>90</v>
      </c>
      <c r="E102">
        <v>850</v>
      </c>
      <c r="F102" t="s">
        <v>0</v>
      </c>
      <c r="G102" t="s">
        <v>1525</v>
      </c>
      <c r="H102" t="s">
        <v>1425</v>
      </c>
      <c r="I102" t="s">
        <v>1426</v>
      </c>
      <c r="J102" t="s">
        <v>1426</v>
      </c>
      <c r="O102">
        <v>186</v>
      </c>
      <c r="P102" t="str">
        <f t="shared" si="6"/>
        <v xml:space="preserve">FEMAŞ 2 Lİ LPG OCAK </v>
      </c>
      <c r="Q102" s="1">
        <f t="shared" si="7"/>
        <v>1700</v>
      </c>
      <c r="R102" t="str">
        <f t="shared" si="8"/>
        <v>TL</v>
      </c>
      <c r="S102" t="str">
        <f t="shared" si="9"/>
        <v>KEA</v>
      </c>
      <c r="T102" t="str">
        <f t="shared" si="5"/>
        <v>kea</v>
      </c>
    </row>
    <row r="103" spans="1:20" x14ac:dyDescent="0.25">
      <c r="A103" t="s">
        <v>1422</v>
      </c>
      <c r="B103">
        <v>187</v>
      </c>
      <c r="C103" t="s">
        <v>2201</v>
      </c>
      <c r="D103" t="s">
        <v>91</v>
      </c>
      <c r="E103">
        <v>950</v>
      </c>
      <c r="F103" t="s">
        <v>0</v>
      </c>
      <c r="G103" t="s">
        <v>1525</v>
      </c>
      <c r="H103" t="s">
        <v>1425</v>
      </c>
      <c r="I103" t="s">
        <v>1426</v>
      </c>
      <c r="J103" t="s">
        <v>1426</v>
      </c>
      <c r="O103">
        <v>187</v>
      </c>
      <c r="P103" t="str">
        <f t="shared" si="6"/>
        <v xml:space="preserve">FEMAŞ 3 LÜ LPG OCAK </v>
      </c>
      <c r="Q103" s="1">
        <f t="shared" si="7"/>
        <v>1900</v>
      </c>
      <c r="R103" t="str">
        <f t="shared" si="8"/>
        <v>TL</v>
      </c>
      <c r="S103" t="str">
        <f t="shared" si="9"/>
        <v>KEA</v>
      </c>
      <c r="T103" t="str">
        <f t="shared" si="5"/>
        <v>kea</v>
      </c>
    </row>
    <row r="104" spans="1:20" x14ac:dyDescent="0.25">
      <c r="A104" t="s">
        <v>1422</v>
      </c>
      <c r="B104">
        <v>188</v>
      </c>
      <c r="C104" t="s">
        <v>2200</v>
      </c>
      <c r="D104" t="s">
        <v>92</v>
      </c>
      <c r="E104">
        <v>1300</v>
      </c>
      <c r="F104" t="s">
        <v>0</v>
      </c>
      <c r="G104" t="s">
        <v>1525</v>
      </c>
      <c r="H104" t="s">
        <v>1425</v>
      </c>
      <c r="I104" t="s">
        <v>1426</v>
      </c>
      <c r="J104" t="s">
        <v>1426</v>
      </c>
      <c r="O104">
        <v>188</v>
      </c>
      <c r="P104" t="str">
        <f t="shared" si="6"/>
        <v>FEMAŞ 4 LÜ LPG OCAK</v>
      </c>
      <c r="Q104" s="1">
        <f t="shared" si="7"/>
        <v>2600</v>
      </c>
      <c r="R104" t="str">
        <f t="shared" si="8"/>
        <v>TL</v>
      </c>
      <c r="S104" t="str">
        <f t="shared" si="9"/>
        <v>KEA</v>
      </c>
      <c r="T104" t="str">
        <f t="shared" si="5"/>
        <v>kea</v>
      </c>
    </row>
    <row r="105" spans="1:20" x14ac:dyDescent="0.25">
      <c r="A105" t="s">
        <v>1422</v>
      </c>
      <c r="B105">
        <v>189</v>
      </c>
      <c r="C105" t="s">
        <v>2199</v>
      </c>
      <c r="D105" t="s">
        <v>93</v>
      </c>
      <c r="E105">
        <v>1750</v>
      </c>
      <c r="F105" t="s">
        <v>0</v>
      </c>
      <c r="G105" t="s">
        <v>1525</v>
      </c>
      <c r="H105" t="s">
        <v>1425</v>
      </c>
      <c r="I105" t="s">
        <v>1426</v>
      </c>
      <c r="J105" t="s">
        <v>1426</v>
      </c>
      <c r="O105">
        <v>189</v>
      </c>
      <c r="P105" t="str">
        <f t="shared" si="6"/>
        <v>FERRE 4 LÜ SET ÜSTÜ OCAK LPG</v>
      </c>
      <c r="Q105" s="1">
        <f t="shared" si="7"/>
        <v>3500</v>
      </c>
      <c r="R105" t="str">
        <f t="shared" si="8"/>
        <v>TL</v>
      </c>
      <c r="S105" t="str">
        <f t="shared" si="9"/>
        <v>KEA</v>
      </c>
      <c r="T105" t="str">
        <f t="shared" si="5"/>
        <v>kea</v>
      </c>
    </row>
    <row r="106" spans="1:20" x14ac:dyDescent="0.25">
      <c r="A106" t="s">
        <v>1422</v>
      </c>
      <c r="B106">
        <v>192</v>
      </c>
      <c r="C106" t="s">
        <v>2330</v>
      </c>
      <c r="D106" t="s">
        <v>94</v>
      </c>
      <c r="E106">
        <v>20000</v>
      </c>
      <c r="F106" t="s">
        <v>0</v>
      </c>
      <c r="G106" t="s">
        <v>1525</v>
      </c>
      <c r="H106" t="s">
        <v>1425</v>
      </c>
      <c r="I106" t="s">
        <v>1426</v>
      </c>
      <c r="J106" t="s">
        <v>1426</v>
      </c>
      <c r="O106">
        <v>192</v>
      </c>
      <c r="P106" t="str">
        <f t="shared" si="6"/>
        <v>ANKASTRE SET FERRE GRANDE SİYAH</v>
      </c>
      <c r="Q106" s="1">
        <f t="shared" si="7"/>
        <v>40000</v>
      </c>
      <c r="R106" t="str">
        <f t="shared" si="8"/>
        <v>TL</v>
      </c>
      <c r="S106" t="str">
        <f t="shared" si="9"/>
        <v>KEA</v>
      </c>
      <c r="T106" t="str">
        <f t="shared" si="5"/>
        <v>kea</v>
      </c>
    </row>
    <row r="107" spans="1:20" x14ac:dyDescent="0.25">
      <c r="A107" t="s">
        <v>1422</v>
      </c>
      <c r="B107">
        <v>194</v>
      </c>
      <c r="C107" t="s">
        <v>2329</v>
      </c>
      <c r="D107" t="s">
        <v>95</v>
      </c>
      <c r="E107">
        <v>18500</v>
      </c>
      <c r="F107" t="s">
        <v>0</v>
      </c>
      <c r="G107" t="s">
        <v>1525</v>
      </c>
      <c r="H107" t="s">
        <v>1425</v>
      </c>
      <c r="I107" t="s">
        <v>1426</v>
      </c>
      <c r="J107" t="s">
        <v>1426</v>
      </c>
      <c r="O107">
        <v>194</v>
      </c>
      <c r="P107" t="str">
        <f t="shared" si="6"/>
        <v>ANKASTRE SET FERRE HAVAİ SİYAH</v>
      </c>
      <c r="Q107" s="1">
        <f t="shared" si="7"/>
        <v>37000</v>
      </c>
      <c r="R107" t="str">
        <f t="shared" si="8"/>
        <v>TL</v>
      </c>
      <c r="S107" t="str">
        <f t="shared" si="9"/>
        <v>KEA</v>
      </c>
      <c r="T107" t="str">
        <f t="shared" si="5"/>
        <v>kea</v>
      </c>
    </row>
    <row r="108" spans="1:20" x14ac:dyDescent="0.25">
      <c r="A108" t="s">
        <v>1422</v>
      </c>
      <c r="B108">
        <v>196</v>
      </c>
      <c r="C108" t="s">
        <v>2328</v>
      </c>
      <c r="D108" t="s">
        <v>96</v>
      </c>
      <c r="E108">
        <v>17000</v>
      </c>
      <c r="F108" t="s">
        <v>0</v>
      </c>
      <c r="G108" t="s">
        <v>1525</v>
      </c>
      <c r="H108" t="s">
        <v>1425</v>
      </c>
      <c r="I108" t="s">
        <v>1426</v>
      </c>
      <c r="J108" t="s">
        <v>1426</v>
      </c>
      <c r="O108">
        <v>196</v>
      </c>
      <c r="P108" t="str">
        <f t="shared" si="6"/>
        <v>ANKASTRE SET FERRE LİZBON SİYAH</v>
      </c>
      <c r="Q108" s="1">
        <f t="shared" si="7"/>
        <v>34000</v>
      </c>
      <c r="R108" t="str">
        <f t="shared" si="8"/>
        <v>TL</v>
      </c>
      <c r="S108" t="str">
        <f t="shared" si="9"/>
        <v>KEA</v>
      </c>
      <c r="T108" t="str">
        <f t="shared" si="5"/>
        <v>kea</v>
      </c>
    </row>
    <row r="109" spans="1:20" x14ac:dyDescent="0.25">
      <c r="A109" t="s">
        <v>1422</v>
      </c>
      <c r="B109">
        <v>198</v>
      </c>
      <c r="C109" t="s">
        <v>1652</v>
      </c>
      <c r="D109" t="s">
        <v>97</v>
      </c>
      <c r="E109">
        <v>2750</v>
      </c>
      <c r="F109" t="s">
        <v>0</v>
      </c>
      <c r="G109" t="s">
        <v>1525</v>
      </c>
      <c r="H109" t="s">
        <v>1425</v>
      </c>
      <c r="I109" t="s">
        <v>1426</v>
      </c>
      <c r="J109" t="s">
        <v>1426</v>
      </c>
      <c r="O109">
        <v>198</v>
      </c>
      <c r="P109" t="str">
        <f t="shared" si="6"/>
        <v>SÜPÜRGE FISHER NUVO SULU</v>
      </c>
      <c r="Q109" s="1">
        <f t="shared" si="7"/>
        <v>5500</v>
      </c>
      <c r="R109" t="str">
        <f t="shared" si="8"/>
        <v>TL</v>
      </c>
      <c r="S109" t="str">
        <f t="shared" si="9"/>
        <v>KEA</v>
      </c>
      <c r="T109" t="str">
        <f t="shared" si="5"/>
        <v>kea</v>
      </c>
    </row>
    <row r="110" spans="1:20" x14ac:dyDescent="0.25">
      <c r="A110" t="s">
        <v>1422</v>
      </c>
      <c r="B110">
        <v>199</v>
      </c>
      <c r="C110" t="s">
        <v>1653</v>
      </c>
      <c r="D110" t="s">
        <v>98</v>
      </c>
      <c r="E110">
        <v>2875</v>
      </c>
      <c r="F110" t="s">
        <v>0</v>
      </c>
      <c r="G110" t="s">
        <v>1525</v>
      </c>
      <c r="H110" t="s">
        <v>1425</v>
      </c>
      <c r="I110" t="s">
        <v>1426</v>
      </c>
      <c r="J110" t="s">
        <v>1426</v>
      </c>
      <c r="O110">
        <v>199</v>
      </c>
      <c r="P110" t="str">
        <f t="shared" si="6"/>
        <v>SÜPÜRGE FISCHER RU-205 ISLAK KURU</v>
      </c>
      <c r="Q110" s="1">
        <f t="shared" si="7"/>
        <v>5750</v>
      </c>
      <c r="R110" t="str">
        <f t="shared" si="8"/>
        <v>TL</v>
      </c>
      <c r="S110" t="str">
        <f t="shared" si="9"/>
        <v>KEA</v>
      </c>
      <c r="T110" t="str">
        <f t="shared" si="5"/>
        <v>kea</v>
      </c>
    </row>
    <row r="111" spans="1:20" x14ac:dyDescent="0.25">
      <c r="A111" t="s">
        <v>1422</v>
      </c>
      <c r="B111">
        <v>200</v>
      </c>
      <c r="C111" t="s">
        <v>1572</v>
      </c>
      <c r="D111" t="s">
        <v>99</v>
      </c>
      <c r="E111">
        <v>1450</v>
      </c>
      <c r="F111" t="s">
        <v>0</v>
      </c>
      <c r="G111" t="s">
        <v>1525</v>
      </c>
      <c r="H111" t="s">
        <v>1425</v>
      </c>
      <c r="I111" t="s">
        <v>1426</v>
      </c>
      <c r="J111" t="s">
        <v>1426</v>
      </c>
      <c r="O111">
        <v>200</v>
      </c>
      <c r="P111" t="str">
        <f t="shared" si="6"/>
        <v>ÜTÜ GOLDMASTER 7613 MAXİPRESS</v>
      </c>
      <c r="Q111" s="1">
        <f t="shared" si="7"/>
        <v>2900</v>
      </c>
      <c r="R111" t="str">
        <f t="shared" si="8"/>
        <v>TL</v>
      </c>
      <c r="S111" t="str">
        <f t="shared" si="9"/>
        <v>KEA</v>
      </c>
      <c r="T111" t="str">
        <f t="shared" si="5"/>
        <v>kea</v>
      </c>
    </row>
    <row r="112" spans="1:20" x14ac:dyDescent="0.25">
      <c r="A112" t="s">
        <v>1422</v>
      </c>
      <c r="B112">
        <v>201</v>
      </c>
      <c r="C112" t="s">
        <v>1571</v>
      </c>
      <c r="D112" t="s">
        <v>100</v>
      </c>
      <c r="E112">
        <v>1650</v>
      </c>
      <c r="F112" t="s">
        <v>0</v>
      </c>
      <c r="G112" t="s">
        <v>1525</v>
      </c>
      <c r="H112" t="s">
        <v>1425</v>
      </c>
      <c r="I112" t="s">
        <v>1426</v>
      </c>
      <c r="J112" t="s">
        <v>1426</v>
      </c>
      <c r="O112">
        <v>201</v>
      </c>
      <c r="P112" t="str">
        <f t="shared" si="6"/>
        <v>ÜTÜ GOLDMASTER 7615 VALS</v>
      </c>
      <c r="Q112" s="1">
        <f t="shared" si="7"/>
        <v>3300</v>
      </c>
      <c r="R112" t="str">
        <f t="shared" si="8"/>
        <v>TL</v>
      </c>
      <c r="S112" t="str">
        <f t="shared" si="9"/>
        <v>KEA</v>
      </c>
      <c r="T112" t="str">
        <f t="shared" si="5"/>
        <v>kea</v>
      </c>
    </row>
    <row r="113" spans="1:20" x14ac:dyDescent="0.25">
      <c r="A113" t="s">
        <v>1422</v>
      </c>
      <c r="B113">
        <v>202</v>
      </c>
      <c r="C113" t="s">
        <v>1570</v>
      </c>
      <c r="D113" t="s">
        <v>101</v>
      </c>
      <c r="E113">
        <v>1800</v>
      </c>
      <c r="F113" t="s">
        <v>0</v>
      </c>
      <c r="G113" t="s">
        <v>1525</v>
      </c>
      <c r="H113" t="s">
        <v>1425</v>
      </c>
      <c r="I113" t="s">
        <v>1426</v>
      </c>
      <c r="J113" t="s">
        <v>1426</v>
      </c>
      <c r="O113">
        <v>202</v>
      </c>
      <c r="P113" t="str">
        <f t="shared" si="6"/>
        <v>ÜTÜ GOLDMASTER 7618 AİRJET</v>
      </c>
      <c r="Q113" s="1">
        <f t="shared" si="7"/>
        <v>3600</v>
      </c>
      <c r="R113" t="str">
        <f t="shared" si="8"/>
        <v>TL</v>
      </c>
      <c r="S113" t="str">
        <f t="shared" si="9"/>
        <v>KEA</v>
      </c>
      <c r="T113" t="str">
        <f t="shared" si="5"/>
        <v>kea</v>
      </c>
    </row>
    <row r="114" spans="1:20" x14ac:dyDescent="0.25">
      <c r="A114" t="s">
        <v>1422</v>
      </c>
      <c r="B114">
        <v>203</v>
      </c>
      <c r="C114" t="s">
        <v>2319</v>
      </c>
      <c r="D114" t="s">
        <v>102</v>
      </c>
      <c r="E114">
        <v>200</v>
      </c>
      <c r="F114" t="s">
        <v>0</v>
      </c>
      <c r="G114" t="s">
        <v>1525</v>
      </c>
      <c r="H114" t="s">
        <v>1425</v>
      </c>
      <c r="I114" t="s">
        <v>1426</v>
      </c>
      <c r="J114" t="s">
        <v>1426</v>
      </c>
      <c r="O114">
        <v>203</v>
      </c>
      <c r="P114" t="str">
        <f t="shared" si="6"/>
        <v>ASKI APARATI HOOK 32"</v>
      </c>
      <c r="Q114" s="1">
        <f t="shared" si="7"/>
        <v>400</v>
      </c>
      <c r="R114" t="str">
        <f t="shared" si="8"/>
        <v>TL</v>
      </c>
      <c r="S114" t="str">
        <f t="shared" si="9"/>
        <v>KEA</v>
      </c>
      <c r="T114" t="str">
        <f t="shared" si="5"/>
        <v>kea</v>
      </c>
    </row>
    <row r="115" spans="1:20" x14ac:dyDescent="0.25">
      <c r="A115" t="s">
        <v>1422</v>
      </c>
      <c r="B115">
        <v>205</v>
      </c>
      <c r="C115" t="s">
        <v>1853</v>
      </c>
      <c r="D115" t="s">
        <v>824</v>
      </c>
      <c r="E115">
        <v>500</v>
      </c>
      <c r="F115" t="s">
        <v>0</v>
      </c>
      <c r="G115" t="s">
        <v>1525</v>
      </c>
      <c r="H115" t="s">
        <v>1425</v>
      </c>
      <c r="I115" t="s">
        <v>1426</v>
      </c>
      <c r="J115" t="s">
        <v>1426</v>
      </c>
      <c r="O115">
        <v>205</v>
      </c>
      <c r="P115" t="str">
        <f t="shared" si="6"/>
        <v>QUARTZ SOBA HOOK AYAZ 3 ÇBK MİNİ</v>
      </c>
      <c r="Q115" s="1">
        <f t="shared" si="7"/>
        <v>1000</v>
      </c>
      <c r="R115" t="str">
        <f t="shared" si="8"/>
        <v>TL</v>
      </c>
      <c r="S115" t="str">
        <f t="shared" si="9"/>
        <v>KEA</v>
      </c>
      <c r="T115" t="str">
        <f t="shared" si="5"/>
        <v>kea</v>
      </c>
    </row>
    <row r="116" spans="1:20" x14ac:dyDescent="0.25">
      <c r="A116" t="s">
        <v>1422</v>
      </c>
      <c r="B116">
        <v>206</v>
      </c>
      <c r="C116" t="s">
        <v>1589</v>
      </c>
      <c r="D116" t="s">
        <v>103</v>
      </c>
      <c r="E116">
        <v>1600</v>
      </c>
      <c r="F116" t="s">
        <v>0</v>
      </c>
      <c r="G116" t="s">
        <v>1525</v>
      </c>
      <c r="H116" t="s">
        <v>1425</v>
      </c>
      <c r="I116" t="s">
        <v>1426</v>
      </c>
      <c r="J116" t="s">
        <v>1426</v>
      </c>
      <c r="O116">
        <v>206</v>
      </c>
      <c r="P116" t="str">
        <f t="shared" si="6"/>
        <v>UFO HOOK BLAZE DİK</v>
      </c>
      <c r="Q116" s="1">
        <f t="shared" si="7"/>
        <v>3200</v>
      </c>
      <c r="R116" t="str">
        <f t="shared" si="8"/>
        <v>TL</v>
      </c>
      <c r="S116" t="str">
        <f t="shared" si="9"/>
        <v>KEA</v>
      </c>
      <c r="T116" t="str">
        <f t="shared" si="5"/>
        <v>kea</v>
      </c>
    </row>
    <row r="117" spans="1:20" x14ac:dyDescent="0.25">
      <c r="A117" t="s">
        <v>1422</v>
      </c>
      <c r="B117">
        <v>208</v>
      </c>
      <c r="C117" t="s">
        <v>1852</v>
      </c>
      <c r="D117" t="s">
        <v>825</v>
      </c>
      <c r="E117">
        <v>500</v>
      </c>
      <c r="F117" t="s">
        <v>0</v>
      </c>
      <c r="G117" t="s">
        <v>1525</v>
      </c>
      <c r="H117" t="s">
        <v>1425</v>
      </c>
      <c r="I117" t="s">
        <v>1426</v>
      </c>
      <c r="J117" t="s">
        <v>1426</v>
      </c>
      <c r="O117">
        <v>208</v>
      </c>
      <c r="P117" t="str">
        <f t="shared" si="6"/>
        <v>QUARTZ SOBA HOOK GÜNEŞ 2 ÇBK MİNİ</v>
      </c>
      <c r="Q117" s="1">
        <f t="shared" si="7"/>
        <v>1000</v>
      </c>
      <c r="R117" t="str">
        <f t="shared" si="8"/>
        <v>TL</v>
      </c>
      <c r="S117" t="str">
        <f t="shared" si="9"/>
        <v>KEA</v>
      </c>
      <c r="T117" t="str">
        <f t="shared" si="5"/>
        <v>kea</v>
      </c>
    </row>
    <row r="118" spans="1:20" x14ac:dyDescent="0.25">
      <c r="A118" t="s">
        <v>1422</v>
      </c>
      <c r="B118">
        <v>209</v>
      </c>
      <c r="C118" t="s">
        <v>2318</v>
      </c>
      <c r="D118" t="s">
        <v>104</v>
      </c>
      <c r="E118">
        <v>550</v>
      </c>
      <c r="F118" t="s">
        <v>0</v>
      </c>
      <c r="G118" t="s">
        <v>1525</v>
      </c>
      <c r="H118" t="s">
        <v>1425</v>
      </c>
      <c r="I118" t="s">
        <v>1426</v>
      </c>
      <c r="J118" t="s">
        <v>1426</v>
      </c>
      <c r="O118">
        <v>209</v>
      </c>
      <c r="P118" t="str">
        <f t="shared" si="6"/>
        <v>ASKI APARATI HOOK KOLLU</v>
      </c>
      <c r="Q118" s="1">
        <f t="shared" si="7"/>
        <v>1100</v>
      </c>
      <c r="R118" t="str">
        <f t="shared" si="8"/>
        <v>TL</v>
      </c>
      <c r="S118" t="str">
        <f t="shared" si="9"/>
        <v>KEA</v>
      </c>
      <c r="T118" t="str">
        <f t="shared" si="5"/>
        <v>kea</v>
      </c>
    </row>
    <row r="119" spans="1:20" x14ac:dyDescent="0.25">
      <c r="A119" t="s">
        <v>1422</v>
      </c>
      <c r="B119">
        <v>210</v>
      </c>
      <c r="C119" t="s">
        <v>2317</v>
      </c>
      <c r="D119" t="s">
        <v>105</v>
      </c>
      <c r="E119">
        <v>1150</v>
      </c>
      <c r="F119" t="s">
        <v>0</v>
      </c>
      <c r="G119" t="s">
        <v>1525</v>
      </c>
      <c r="H119" t="s">
        <v>1425</v>
      </c>
      <c r="I119" t="s">
        <v>1426</v>
      </c>
      <c r="J119" t="s">
        <v>1426</v>
      </c>
      <c r="O119">
        <v>210</v>
      </c>
      <c r="P119" t="str">
        <f t="shared" si="6"/>
        <v>ASKI APARATI HOOK TAVAN 27-37''</v>
      </c>
      <c r="Q119" s="1">
        <f t="shared" si="7"/>
        <v>2300</v>
      </c>
      <c r="R119" t="str">
        <f t="shared" si="8"/>
        <v>TL</v>
      </c>
      <c r="S119" t="str">
        <f t="shared" si="9"/>
        <v>KEA</v>
      </c>
      <c r="T119" t="str">
        <f t="shared" si="5"/>
        <v>kea</v>
      </c>
    </row>
    <row r="120" spans="1:20" x14ac:dyDescent="0.25">
      <c r="A120" t="s">
        <v>1422</v>
      </c>
      <c r="B120">
        <v>211</v>
      </c>
      <c r="C120" t="s">
        <v>2316</v>
      </c>
      <c r="D120" t="s">
        <v>106</v>
      </c>
      <c r="E120">
        <v>1250</v>
      </c>
      <c r="F120" t="s">
        <v>0</v>
      </c>
      <c r="G120" t="s">
        <v>1525</v>
      </c>
      <c r="H120" t="s">
        <v>1425</v>
      </c>
      <c r="I120" t="s">
        <v>1426</v>
      </c>
      <c r="J120" t="s">
        <v>1426</v>
      </c>
      <c r="O120">
        <v>211</v>
      </c>
      <c r="P120" t="str">
        <f t="shared" si="6"/>
        <v>ASKI APARATI HOOK TAVAN 38-50''</v>
      </c>
      <c r="Q120" s="1">
        <f t="shared" si="7"/>
        <v>2500</v>
      </c>
      <c r="R120" t="str">
        <f t="shared" si="8"/>
        <v>TL</v>
      </c>
      <c r="S120" t="str">
        <f t="shared" si="9"/>
        <v>KEA</v>
      </c>
      <c r="T120" t="str">
        <f t="shared" si="5"/>
        <v>kea</v>
      </c>
    </row>
    <row r="121" spans="1:20" x14ac:dyDescent="0.25">
      <c r="A121" t="s">
        <v>1422</v>
      </c>
      <c r="B121">
        <v>212</v>
      </c>
      <c r="C121" t="s">
        <v>2095</v>
      </c>
      <c r="D121" t="s">
        <v>107</v>
      </c>
      <c r="E121">
        <v>450</v>
      </c>
      <c r="F121" t="s">
        <v>0</v>
      </c>
      <c r="G121" t="s">
        <v>1525</v>
      </c>
      <c r="H121" t="s">
        <v>1425</v>
      </c>
      <c r="I121" t="s">
        <v>1426</v>
      </c>
      <c r="J121" t="s">
        <v>1426</v>
      </c>
      <c r="O121">
        <v>212</v>
      </c>
      <c r="P121" t="str">
        <f t="shared" si="6"/>
        <v>KETTLE HOOK TROYA</v>
      </c>
      <c r="Q121" s="1">
        <f t="shared" si="7"/>
        <v>900</v>
      </c>
      <c r="R121" t="str">
        <f t="shared" si="8"/>
        <v>TL</v>
      </c>
      <c r="S121" t="str">
        <f t="shared" si="9"/>
        <v>KEA</v>
      </c>
      <c r="T121" t="str">
        <f t="shared" si="5"/>
        <v>kea</v>
      </c>
    </row>
    <row r="122" spans="1:20" x14ac:dyDescent="0.25">
      <c r="A122" t="s">
        <v>1422</v>
      </c>
      <c r="B122">
        <v>213</v>
      </c>
      <c r="C122" t="s">
        <v>1692</v>
      </c>
      <c r="D122" t="s">
        <v>108</v>
      </c>
      <c r="E122">
        <v>4050</v>
      </c>
      <c r="F122" t="s">
        <v>0</v>
      </c>
      <c r="G122" t="s">
        <v>1525</v>
      </c>
      <c r="H122" t="s">
        <v>1425</v>
      </c>
      <c r="I122" t="s">
        <v>1426</v>
      </c>
      <c r="J122" t="s">
        <v>1426</v>
      </c>
      <c r="O122">
        <v>213</v>
      </c>
      <c r="P122" t="str">
        <f t="shared" si="6"/>
        <v>SEMAVER İMZA 120 BARDAK</v>
      </c>
      <c r="Q122" s="1">
        <f t="shared" si="7"/>
        <v>8100</v>
      </c>
      <c r="R122" t="str">
        <f t="shared" si="8"/>
        <v>TL</v>
      </c>
      <c r="S122" t="str">
        <f t="shared" si="9"/>
        <v>KEA</v>
      </c>
      <c r="T122" t="str">
        <f t="shared" si="5"/>
        <v>kea</v>
      </c>
    </row>
    <row r="123" spans="1:20" x14ac:dyDescent="0.25">
      <c r="A123" t="s">
        <v>1422</v>
      </c>
      <c r="B123">
        <v>214</v>
      </c>
      <c r="C123" t="s">
        <v>1691</v>
      </c>
      <c r="D123" t="s">
        <v>109</v>
      </c>
      <c r="E123">
        <v>4450</v>
      </c>
      <c r="F123" t="s">
        <v>0</v>
      </c>
      <c r="G123" t="s">
        <v>1525</v>
      </c>
      <c r="H123" t="s">
        <v>1425</v>
      </c>
      <c r="I123" t="s">
        <v>1426</v>
      </c>
      <c r="J123" t="s">
        <v>1426</v>
      </c>
      <c r="O123">
        <v>214</v>
      </c>
      <c r="P123" t="str">
        <f t="shared" si="6"/>
        <v>SEMAVER İMZA 160 BARDAK</v>
      </c>
      <c r="Q123" s="1">
        <f t="shared" si="7"/>
        <v>8900</v>
      </c>
      <c r="R123" t="str">
        <f t="shared" si="8"/>
        <v>TL</v>
      </c>
      <c r="S123" t="str">
        <f t="shared" si="9"/>
        <v>KEA</v>
      </c>
      <c r="T123" t="str">
        <f t="shared" si="5"/>
        <v>kea</v>
      </c>
    </row>
    <row r="124" spans="1:20" x14ac:dyDescent="0.25">
      <c r="A124" t="s">
        <v>1422</v>
      </c>
      <c r="B124">
        <v>215</v>
      </c>
      <c r="C124" t="s">
        <v>1690</v>
      </c>
      <c r="D124" t="s">
        <v>110</v>
      </c>
      <c r="E124">
        <v>5000</v>
      </c>
      <c r="F124" t="s">
        <v>0</v>
      </c>
      <c r="G124" t="s">
        <v>1525</v>
      </c>
      <c r="H124" t="s">
        <v>1425</v>
      </c>
      <c r="I124" t="s">
        <v>1426</v>
      </c>
      <c r="J124" t="s">
        <v>1426</v>
      </c>
      <c r="O124">
        <v>215</v>
      </c>
      <c r="P124" t="str">
        <f t="shared" si="6"/>
        <v>SEMAVER İMZA 250 BARDAK</v>
      </c>
      <c r="Q124" s="1">
        <f t="shared" si="7"/>
        <v>10000</v>
      </c>
      <c r="R124" t="str">
        <f t="shared" si="8"/>
        <v>TL</v>
      </c>
      <c r="S124" t="str">
        <f t="shared" si="9"/>
        <v>KEA</v>
      </c>
      <c r="T124" t="str">
        <f t="shared" si="5"/>
        <v>kea</v>
      </c>
    </row>
    <row r="125" spans="1:20" x14ac:dyDescent="0.25">
      <c r="A125" t="s">
        <v>1422</v>
      </c>
      <c r="B125">
        <v>216</v>
      </c>
      <c r="C125" t="s">
        <v>1689</v>
      </c>
      <c r="D125" t="s">
        <v>111</v>
      </c>
      <c r="E125">
        <v>2600</v>
      </c>
      <c r="F125" t="s">
        <v>0</v>
      </c>
      <c r="G125" t="s">
        <v>1525</v>
      </c>
      <c r="H125" t="s">
        <v>1425</v>
      </c>
      <c r="I125" t="s">
        <v>1426</v>
      </c>
      <c r="J125" t="s">
        <v>1426</v>
      </c>
      <c r="O125">
        <v>216</v>
      </c>
      <c r="P125" t="str">
        <f t="shared" si="6"/>
        <v>SEMAVER İMZA 30 BARDAK</v>
      </c>
      <c r="Q125" s="1">
        <f t="shared" si="7"/>
        <v>5200</v>
      </c>
      <c r="R125" t="str">
        <f t="shared" si="8"/>
        <v>TL</v>
      </c>
      <c r="S125" t="str">
        <f t="shared" si="9"/>
        <v>KEA</v>
      </c>
      <c r="T125" t="str">
        <f t="shared" si="5"/>
        <v>kea</v>
      </c>
    </row>
    <row r="126" spans="1:20" x14ac:dyDescent="0.25">
      <c r="A126" t="s">
        <v>1422</v>
      </c>
      <c r="B126">
        <v>217</v>
      </c>
      <c r="C126" t="s">
        <v>1688</v>
      </c>
      <c r="D126" t="s">
        <v>112</v>
      </c>
      <c r="E126">
        <v>7000</v>
      </c>
      <c r="F126" t="s">
        <v>0</v>
      </c>
      <c r="G126" t="s">
        <v>1525</v>
      </c>
      <c r="H126" t="s">
        <v>1425</v>
      </c>
      <c r="I126" t="s">
        <v>1426</v>
      </c>
      <c r="J126" t="s">
        <v>1426</v>
      </c>
      <c r="O126">
        <v>217</v>
      </c>
      <c r="P126" t="str">
        <f t="shared" si="6"/>
        <v>SEMAVER İMZA 350 BARDAK</v>
      </c>
      <c r="Q126" s="1">
        <f t="shared" si="7"/>
        <v>14000</v>
      </c>
      <c r="R126" t="str">
        <f t="shared" si="8"/>
        <v>TL</v>
      </c>
      <c r="S126" t="str">
        <f t="shared" si="9"/>
        <v>KEA</v>
      </c>
      <c r="T126" t="str">
        <f t="shared" si="5"/>
        <v>kea</v>
      </c>
    </row>
    <row r="127" spans="1:20" x14ac:dyDescent="0.25">
      <c r="A127" t="s">
        <v>1422</v>
      </c>
      <c r="B127">
        <v>218</v>
      </c>
      <c r="C127" t="s">
        <v>1687</v>
      </c>
      <c r="D127" t="s">
        <v>113</v>
      </c>
      <c r="E127">
        <v>3050</v>
      </c>
      <c r="F127" t="s">
        <v>0</v>
      </c>
      <c r="G127" t="s">
        <v>1525</v>
      </c>
      <c r="H127" t="s">
        <v>1425</v>
      </c>
      <c r="I127" t="s">
        <v>1426</v>
      </c>
      <c r="J127" t="s">
        <v>1426</v>
      </c>
      <c r="O127">
        <v>218</v>
      </c>
      <c r="P127" t="str">
        <f t="shared" si="6"/>
        <v>SEMAVER İMZA 50 BARDAK</v>
      </c>
      <c r="Q127" s="1">
        <f t="shared" si="7"/>
        <v>6100</v>
      </c>
      <c r="R127" t="str">
        <f t="shared" si="8"/>
        <v>TL</v>
      </c>
      <c r="S127" t="str">
        <f t="shared" si="9"/>
        <v>KEA</v>
      </c>
      <c r="T127" t="str">
        <f t="shared" si="5"/>
        <v>kea</v>
      </c>
    </row>
    <row r="128" spans="1:20" x14ac:dyDescent="0.25">
      <c r="A128" t="s">
        <v>1422</v>
      </c>
      <c r="B128">
        <v>219</v>
      </c>
      <c r="C128" t="s">
        <v>1686</v>
      </c>
      <c r="D128" t="s">
        <v>114</v>
      </c>
      <c r="E128">
        <v>0</v>
      </c>
      <c r="F128" t="s">
        <v>0</v>
      </c>
      <c r="G128" t="s">
        <v>1525</v>
      </c>
      <c r="H128" t="s">
        <v>1425</v>
      </c>
      <c r="I128" t="s">
        <v>1426</v>
      </c>
      <c r="J128" t="s">
        <v>1426</v>
      </c>
      <c r="O128">
        <v>219</v>
      </c>
      <c r="P128" t="str">
        <f t="shared" si="6"/>
        <v>SEMAVER İMZA 80 BARDAK</v>
      </c>
      <c r="Q128" s="1">
        <f t="shared" si="7"/>
        <v>0</v>
      </c>
      <c r="R128" t="str">
        <f t="shared" si="8"/>
        <v>TL</v>
      </c>
      <c r="S128" t="str">
        <f t="shared" si="9"/>
        <v>KEA</v>
      </c>
      <c r="T128" t="str">
        <f t="shared" si="5"/>
        <v>kea</v>
      </c>
    </row>
    <row r="129" spans="1:20" x14ac:dyDescent="0.25">
      <c r="A129" t="s">
        <v>1422</v>
      </c>
      <c r="B129">
        <v>220</v>
      </c>
      <c r="C129" t="s">
        <v>1684</v>
      </c>
      <c r="D129" t="s">
        <v>115</v>
      </c>
      <c r="E129">
        <v>4450</v>
      </c>
      <c r="F129" t="s">
        <v>0</v>
      </c>
      <c r="G129" t="s">
        <v>1525</v>
      </c>
      <c r="H129" t="s">
        <v>1425</v>
      </c>
      <c r="I129" t="s">
        <v>1426</v>
      </c>
      <c r="J129" t="s">
        <v>1426</v>
      </c>
      <c r="O129">
        <v>220</v>
      </c>
      <c r="P129" t="str">
        <f t="shared" si="6"/>
        <v>SEMAVER KAPLANLI 160 BARDAK</v>
      </c>
      <c r="Q129" s="1">
        <f t="shared" si="7"/>
        <v>8900</v>
      </c>
      <c r="R129" t="str">
        <f t="shared" si="8"/>
        <v>TL</v>
      </c>
      <c r="S129" t="str">
        <f t="shared" si="9"/>
        <v>KEA</v>
      </c>
      <c r="T129" t="str">
        <f t="shared" si="5"/>
        <v>kea</v>
      </c>
    </row>
    <row r="130" spans="1:20" x14ac:dyDescent="0.25">
      <c r="A130" t="s">
        <v>1422</v>
      </c>
      <c r="B130">
        <v>221</v>
      </c>
      <c r="C130" t="s">
        <v>1683</v>
      </c>
      <c r="D130" t="s">
        <v>116</v>
      </c>
      <c r="E130">
        <v>5000</v>
      </c>
      <c r="F130" t="s">
        <v>0</v>
      </c>
      <c r="G130" t="s">
        <v>1525</v>
      </c>
      <c r="H130" t="s">
        <v>1425</v>
      </c>
      <c r="I130" t="s">
        <v>1426</v>
      </c>
      <c r="J130" t="s">
        <v>1426</v>
      </c>
      <c r="O130">
        <v>221</v>
      </c>
      <c r="P130" t="str">
        <f t="shared" si="6"/>
        <v>SEMAVER KAPLANLI 250 BARDAK</v>
      </c>
      <c r="Q130" s="1">
        <f t="shared" si="7"/>
        <v>10000</v>
      </c>
      <c r="R130" t="str">
        <f t="shared" si="8"/>
        <v>TL</v>
      </c>
      <c r="S130" t="str">
        <f t="shared" si="9"/>
        <v>KEA</v>
      </c>
      <c r="T130" t="str">
        <f t="shared" si="5"/>
        <v>kea</v>
      </c>
    </row>
    <row r="131" spans="1:20" x14ac:dyDescent="0.25">
      <c r="A131" t="s">
        <v>1422</v>
      </c>
      <c r="B131">
        <v>222</v>
      </c>
      <c r="C131" t="s">
        <v>1682</v>
      </c>
      <c r="D131" t="s">
        <v>117</v>
      </c>
      <c r="E131">
        <v>3150</v>
      </c>
      <c r="F131" t="s">
        <v>0</v>
      </c>
      <c r="G131" t="s">
        <v>1525</v>
      </c>
      <c r="H131" t="s">
        <v>1425</v>
      </c>
      <c r="I131" t="s">
        <v>1426</v>
      </c>
      <c r="J131" t="s">
        <v>1426</v>
      </c>
      <c r="O131">
        <v>222</v>
      </c>
      <c r="P131" t="str">
        <f t="shared" si="6"/>
        <v>SEMAVER KAPLANLI 40 BARDAK</v>
      </c>
      <c r="Q131" s="1">
        <f t="shared" si="7"/>
        <v>6300</v>
      </c>
      <c r="R131" t="str">
        <f t="shared" si="8"/>
        <v>TL</v>
      </c>
      <c r="S131" t="str">
        <f t="shared" si="9"/>
        <v>KEA</v>
      </c>
      <c r="T131" t="str">
        <f t="shared" ref="T131:T194" si="10">IF(S131="KEA","kea",IF(S131="MOBİLYA","mobilya",IF(S131="TÜP","tup",IF(S131="MASA-SAND-SEHPA-ZİGON","mssz",IF(S131="ENDÜSTRİYEL","endustriyel",IF(S131="YEDEK PARÇA","diger",""))))))</f>
        <v>kea</v>
      </c>
    </row>
    <row r="132" spans="1:20" x14ac:dyDescent="0.25">
      <c r="A132" t="s">
        <v>1422</v>
      </c>
      <c r="B132">
        <v>223</v>
      </c>
      <c r="C132" t="s">
        <v>1681</v>
      </c>
      <c r="D132" t="s">
        <v>118</v>
      </c>
      <c r="E132">
        <v>3450</v>
      </c>
      <c r="F132" t="s">
        <v>0</v>
      </c>
      <c r="G132" t="s">
        <v>1525</v>
      </c>
      <c r="H132" t="s">
        <v>1425</v>
      </c>
      <c r="I132" t="s">
        <v>1426</v>
      </c>
      <c r="J132" t="s">
        <v>1426</v>
      </c>
      <c r="O132">
        <v>223</v>
      </c>
      <c r="P132" t="str">
        <f t="shared" ref="P132:P195" si="11">IFERROR(VLOOKUP(O132,$M:$N,2,0), VLOOKUP(O132,$B:$D,3,0))</f>
        <v>SEMAVER KAPLANLI 60 BARDAK</v>
      </c>
      <c r="Q132" s="1">
        <f t="shared" ref="Q132:Q195" si="12">VLOOKUP(O132,$B:$E,4,0)*2</f>
        <v>6900</v>
      </c>
      <c r="R132" t="str">
        <f t="shared" ref="R132:R195" si="13">VLOOKUP(O132,$B:$F,5,0)</f>
        <v>TL</v>
      </c>
      <c r="S132" t="str">
        <f t="shared" ref="S132:S195" si="14">VLOOKUP(O132,$B:$G,6,0)</f>
        <v>KEA</v>
      </c>
      <c r="T132" t="str">
        <f t="shared" si="10"/>
        <v>kea</v>
      </c>
    </row>
    <row r="133" spans="1:20" x14ac:dyDescent="0.25">
      <c r="A133" t="s">
        <v>1422</v>
      </c>
      <c r="B133">
        <v>224</v>
      </c>
      <c r="C133" t="s">
        <v>1680</v>
      </c>
      <c r="D133" t="s">
        <v>119</v>
      </c>
      <c r="E133">
        <v>3775</v>
      </c>
      <c r="F133" t="s">
        <v>0</v>
      </c>
      <c r="G133" t="s">
        <v>1525</v>
      </c>
      <c r="H133" t="s">
        <v>1425</v>
      </c>
      <c r="I133" t="s">
        <v>1426</v>
      </c>
      <c r="J133" t="s">
        <v>1426</v>
      </c>
      <c r="O133">
        <v>224</v>
      </c>
      <c r="P133" t="str">
        <f t="shared" si="11"/>
        <v>SEMAVER KAPLANLI 80 BARDAK</v>
      </c>
      <c r="Q133" s="1">
        <f t="shared" si="12"/>
        <v>7550</v>
      </c>
      <c r="R133" t="str">
        <f t="shared" si="13"/>
        <v>TL</v>
      </c>
      <c r="S133" t="str">
        <f t="shared" si="14"/>
        <v>KEA</v>
      </c>
      <c r="T133" t="str">
        <f t="shared" si="10"/>
        <v>kea</v>
      </c>
    </row>
    <row r="134" spans="1:20" x14ac:dyDescent="0.25">
      <c r="A134" t="s">
        <v>1422</v>
      </c>
      <c r="B134">
        <v>225</v>
      </c>
      <c r="C134" t="s">
        <v>1817</v>
      </c>
      <c r="D134" t="s">
        <v>120</v>
      </c>
      <c r="E134">
        <v>900</v>
      </c>
      <c r="F134" t="s">
        <v>0</v>
      </c>
      <c r="G134" t="s">
        <v>1525</v>
      </c>
      <c r="H134" t="s">
        <v>1425</v>
      </c>
      <c r="I134" t="s">
        <v>1426</v>
      </c>
      <c r="J134" t="s">
        <v>1426</v>
      </c>
      <c r="O134">
        <v>225</v>
      </c>
      <c r="P134" t="str">
        <f t="shared" si="11"/>
        <v>SAÇ KURUTMA MAKİNESİ KİNG LİNNA</v>
      </c>
      <c r="Q134" s="1">
        <f t="shared" si="12"/>
        <v>1800</v>
      </c>
      <c r="R134" t="str">
        <f t="shared" si="13"/>
        <v>TL</v>
      </c>
      <c r="S134" t="str">
        <f t="shared" si="14"/>
        <v>KEA</v>
      </c>
      <c r="T134" t="str">
        <f t="shared" si="10"/>
        <v>kea</v>
      </c>
    </row>
    <row r="135" spans="1:20" x14ac:dyDescent="0.25">
      <c r="A135" t="s">
        <v>1422</v>
      </c>
      <c r="B135">
        <v>226</v>
      </c>
      <c r="C135" t="s">
        <v>2082</v>
      </c>
      <c r="D135" t="s">
        <v>121</v>
      </c>
      <c r="E135">
        <v>1500</v>
      </c>
      <c r="F135" t="s">
        <v>0</v>
      </c>
      <c r="G135" t="s">
        <v>1525</v>
      </c>
      <c r="H135" t="s">
        <v>1425</v>
      </c>
      <c r="I135" t="s">
        <v>1426</v>
      </c>
      <c r="J135" t="s">
        <v>1426</v>
      </c>
      <c r="O135">
        <v>226</v>
      </c>
      <c r="P135" t="str">
        <f t="shared" si="11"/>
        <v xml:space="preserve">LAVİCCO 2 'Lİ EMNİYETLİ OCAK </v>
      </c>
      <c r="Q135" s="1">
        <f t="shared" si="12"/>
        <v>3000</v>
      </c>
      <c r="R135" t="str">
        <f t="shared" si="13"/>
        <v>TL</v>
      </c>
      <c r="S135" t="str">
        <f t="shared" si="14"/>
        <v>KEA</v>
      </c>
      <c r="T135" t="str">
        <f t="shared" si="10"/>
        <v>kea</v>
      </c>
    </row>
    <row r="136" spans="1:20" x14ac:dyDescent="0.25">
      <c r="A136" t="s">
        <v>1422</v>
      </c>
      <c r="B136">
        <v>227</v>
      </c>
      <c r="C136" t="s">
        <v>2134</v>
      </c>
      <c r="D136" t="s">
        <v>122</v>
      </c>
      <c r="E136">
        <v>1700</v>
      </c>
      <c r="F136" t="s">
        <v>0</v>
      </c>
      <c r="G136" t="s">
        <v>1525</v>
      </c>
      <c r="H136" t="s">
        <v>1425</v>
      </c>
      <c r="I136" t="s">
        <v>1426</v>
      </c>
      <c r="J136" t="s">
        <v>1426</v>
      </c>
      <c r="O136">
        <v>227</v>
      </c>
      <c r="P136" t="str">
        <f t="shared" si="11"/>
        <v>KATMER SACI LAVİCCO</v>
      </c>
      <c r="Q136" s="1">
        <f t="shared" si="12"/>
        <v>3400</v>
      </c>
      <c r="R136" t="str">
        <f t="shared" si="13"/>
        <v>TL</v>
      </c>
      <c r="S136" t="str">
        <f t="shared" si="14"/>
        <v>KEA</v>
      </c>
      <c r="T136" t="str">
        <f t="shared" si="10"/>
        <v>kea</v>
      </c>
    </row>
    <row r="137" spans="1:20" x14ac:dyDescent="0.25">
      <c r="A137" t="s">
        <v>1422</v>
      </c>
      <c r="B137">
        <v>228</v>
      </c>
      <c r="C137" t="s">
        <v>1604</v>
      </c>
      <c r="D137" t="s">
        <v>123</v>
      </c>
      <c r="E137">
        <v>0</v>
      </c>
      <c r="F137" t="s">
        <v>0</v>
      </c>
      <c r="G137" t="s">
        <v>1525</v>
      </c>
      <c r="H137" t="s">
        <v>1425</v>
      </c>
      <c r="I137" t="s">
        <v>1426</v>
      </c>
      <c r="J137" t="s">
        <v>1426</v>
      </c>
      <c r="O137">
        <v>228</v>
      </c>
      <c r="P137" t="str">
        <f t="shared" si="11"/>
        <v>TOST MAKİNESİ LİDER SAVİO LT-15</v>
      </c>
      <c r="Q137" s="1">
        <f t="shared" si="12"/>
        <v>0</v>
      </c>
      <c r="R137" t="str">
        <f t="shared" si="13"/>
        <v>TL</v>
      </c>
      <c r="S137" t="str">
        <f t="shared" si="14"/>
        <v>KEA</v>
      </c>
      <c r="T137" t="str">
        <f t="shared" si="10"/>
        <v>kea</v>
      </c>
    </row>
    <row r="138" spans="1:20" x14ac:dyDescent="0.25">
      <c r="A138" t="s">
        <v>1422</v>
      </c>
      <c r="B138">
        <v>229</v>
      </c>
      <c r="C138" t="s">
        <v>2075</v>
      </c>
      <c r="D138" t="s">
        <v>124</v>
      </c>
      <c r="E138">
        <v>0</v>
      </c>
      <c r="F138" t="s">
        <v>0</v>
      </c>
      <c r="G138" t="s">
        <v>1553</v>
      </c>
      <c r="H138" t="s">
        <v>1425</v>
      </c>
      <c r="I138" t="s">
        <v>1426</v>
      </c>
      <c r="J138" t="s">
        <v>1426</v>
      </c>
      <c r="O138">
        <v>229</v>
      </c>
      <c r="P138" t="str">
        <f t="shared" si="11"/>
        <v xml:space="preserve">LİMİTED VANALI DEDANTÖR </v>
      </c>
      <c r="Q138" s="1">
        <f t="shared" si="12"/>
        <v>0</v>
      </c>
      <c r="R138" t="str">
        <f t="shared" si="13"/>
        <v>TL</v>
      </c>
      <c r="S138" t="str">
        <f t="shared" si="14"/>
        <v>TÜP</v>
      </c>
      <c r="T138" t="str">
        <f t="shared" si="10"/>
        <v>tup</v>
      </c>
    </row>
    <row r="139" spans="1:20" x14ac:dyDescent="0.25">
      <c r="A139" t="s">
        <v>1422</v>
      </c>
      <c r="B139">
        <v>230</v>
      </c>
      <c r="C139" t="s">
        <v>1550</v>
      </c>
      <c r="D139" t="s">
        <v>125</v>
      </c>
      <c r="E139">
        <v>6000</v>
      </c>
      <c r="F139" t="s">
        <v>0</v>
      </c>
      <c r="G139" t="s">
        <v>1525</v>
      </c>
      <c r="H139" t="s">
        <v>1425</v>
      </c>
      <c r="I139" t="s">
        <v>1426</v>
      </c>
      <c r="J139" t="s">
        <v>1426</v>
      </c>
      <c r="O139">
        <v>230</v>
      </c>
      <c r="P139" t="str">
        <f t="shared" si="11"/>
        <v>YAĞLI RADYATÖR MARSSTAR 11 DİLİM FANLI</v>
      </c>
      <c r="Q139" s="1">
        <f t="shared" si="12"/>
        <v>12000</v>
      </c>
      <c r="R139" t="str">
        <f t="shared" si="13"/>
        <v>TL</v>
      </c>
      <c r="S139" t="str">
        <f t="shared" si="14"/>
        <v>KEA</v>
      </c>
      <c r="T139" t="str">
        <f t="shared" si="10"/>
        <v>kea</v>
      </c>
    </row>
    <row r="140" spans="1:20" x14ac:dyDescent="0.25">
      <c r="A140" t="s">
        <v>1422</v>
      </c>
      <c r="B140">
        <v>231</v>
      </c>
      <c r="C140" t="s">
        <v>2311</v>
      </c>
      <c r="D140" t="s">
        <v>126</v>
      </c>
      <c r="E140">
        <v>1850</v>
      </c>
      <c r="F140" t="s">
        <v>0</v>
      </c>
      <c r="G140" t="s">
        <v>1525</v>
      </c>
      <c r="H140" t="s">
        <v>1425</v>
      </c>
      <c r="I140" t="s">
        <v>1426</v>
      </c>
      <c r="J140" t="s">
        <v>1426</v>
      </c>
      <c r="O140">
        <v>231</v>
      </c>
      <c r="P140" t="str">
        <f t="shared" si="11"/>
        <v>ASPİRATÖR MAXİMUS</v>
      </c>
      <c r="Q140" s="1">
        <f t="shared" si="12"/>
        <v>3700</v>
      </c>
      <c r="R140" t="str">
        <f t="shared" si="13"/>
        <v>TL</v>
      </c>
      <c r="S140" t="str">
        <f t="shared" si="14"/>
        <v>KEA</v>
      </c>
      <c r="T140" t="str">
        <f t="shared" si="10"/>
        <v>kea</v>
      </c>
    </row>
    <row r="141" spans="1:20" x14ac:dyDescent="0.25">
      <c r="A141" t="s">
        <v>1422</v>
      </c>
      <c r="B141">
        <v>232</v>
      </c>
      <c r="C141" t="s">
        <v>1993</v>
      </c>
      <c r="D141" t="s">
        <v>127</v>
      </c>
      <c r="E141">
        <v>195</v>
      </c>
      <c r="F141" t="s">
        <v>0</v>
      </c>
      <c r="G141" t="s">
        <v>1553</v>
      </c>
      <c r="H141" t="s">
        <v>1425</v>
      </c>
      <c r="I141" t="s">
        <v>1426</v>
      </c>
      <c r="J141" t="s">
        <v>1426</v>
      </c>
      <c r="O141">
        <v>232</v>
      </c>
      <c r="P141" t="str">
        <f t="shared" si="11"/>
        <v>MEDD KAMP OCAK İPRA</v>
      </c>
      <c r="Q141" s="1">
        <f t="shared" si="12"/>
        <v>390</v>
      </c>
      <c r="R141" t="str">
        <f t="shared" si="13"/>
        <v>TL</v>
      </c>
      <c r="S141" t="str">
        <f t="shared" si="14"/>
        <v>TÜP</v>
      </c>
      <c r="T141" t="str">
        <f t="shared" si="10"/>
        <v>tup</v>
      </c>
    </row>
    <row r="142" spans="1:20" x14ac:dyDescent="0.25">
      <c r="A142" t="s">
        <v>1422</v>
      </c>
      <c r="B142">
        <v>233</v>
      </c>
      <c r="C142" t="s">
        <v>2256</v>
      </c>
      <c r="D142" t="s">
        <v>2257</v>
      </c>
      <c r="E142">
        <v>2750</v>
      </c>
      <c r="F142" t="s">
        <v>0</v>
      </c>
      <c r="G142" t="s">
        <v>1525</v>
      </c>
      <c r="H142" t="s">
        <v>1425</v>
      </c>
      <c r="I142" t="s">
        <v>1426</v>
      </c>
      <c r="J142" t="s">
        <v>1426</v>
      </c>
      <c r="O142">
        <v>233</v>
      </c>
      <c r="P142" t="str">
        <f t="shared" si="11"/>
        <v>DAVLUMBAZ MİKROLİNE BEYAZ</v>
      </c>
      <c r="Q142" s="1">
        <f t="shared" si="12"/>
        <v>5500</v>
      </c>
      <c r="R142" t="str">
        <f t="shared" si="13"/>
        <v>TL</v>
      </c>
      <c r="S142" t="str">
        <f t="shared" si="14"/>
        <v>KEA</v>
      </c>
      <c r="T142" t="str">
        <f t="shared" si="10"/>
        <v>kea</v>
      </c>
    </row>
    <row r="143" spans="1:20" x14ac:dyDescent="0.25">
      <c r="A143" t="s">
        <v>1422</v>
      </c>
      <c r="B143">
        <v>234</v>
      </c>
      <c r="C143" t="s">
        <v>2310</v>
      </c>
      <c r="D143" t="s">
        <v>128</v>
      </c>
      <c r="E143">
        <v>1750</v>
      </c>
      <c r="F143" t="s">
        <v>0</v>
      </c>
      <c r="G143" t="s">
        <v>1525</v>
      </c>
      <c r="H143" t="s">
        <v>1425</v>
      </c>
      <c r="I143" t="s">
        <v>1426</v>
      </c>
      <c r="J143" t="s">
        <v>1426</v>
      </c>
      <c r="O143">
        <v>234</v>
      </c>
      <c r="P143" t="str">
        <f t="shared" si="11"/>
        <v>ASPİRATÖR MİKROLİNE</v>
      </c>
      <c r="Q143" s="1">
        <f t="shared" si="12"/>
        <v>3500</v>
      </c>
      <c r="R143" t="str">
        <f t="shared" si="13"/>
        <v>TL</v>
      </c>
      <c r="S143" t="str">
        <f t="shared" si="14"/>
        <v>KEA</v>
      </c>
      <c r="T143" t="str">
        <f t="shared" si="10"/>
        <v>kea</v>
      </c>
    </row>
    <row r="144" spans="1:20" x14ac:dyDescent="0.25">
      <c r="A144" t="s">
        <v>1422</v>
      </c>
      <c r="B144">
        <v>235</v>
      </c>
      <c r="C144" t="s">
        <v>1972</v>
      </c>
      <c r="D144" t="s">
        <v>129</v>
      </c>
      <c r="E144">
        <v>2750</v>
      </c>
      <c r="F144" t="s">
        <v>0</v>
      </c>
      <c r="G144" t="s">
        <v>1525</v>
      </c>
      <c r="H144" t="s">
        <v>1425</v>
      </c>
      <c r="I144" t="s">
        <v>1426</v>
      </c>
      <c r="J144" t="s">
        <v>1426</v>
      </c>
      <c r="O144">
        <v>235</v>
      </c>
      <c r="P144" t="str">
        <f t="shared" si="11"/>
        <v>MİNİSAN (3+1) PLEYTLİ OCAK ÜSTTEN DÜĞMELİ</v>
      </c>
      <c r="Q144" s="1">
        <f t="shared" si="12"/>
        <v>5500</v>
      </c>
      <c r="R144" t="str">
        <f t="shared" si="13"/>
        <v>TL</v>
      </c>
      <c r="S144" t="str">
        <f t="shared" si="14"/>
        <v>KEA</v>
      </c>
      <c r="T144" t="str">
        <f t="shared" si="10"/>
        <v>kea</v>
      </c>
    </row>
    <row r="145" spans="1:20" x14ac:dyDescent="0.25">
      <c r="A145" t="s">
        <v>1422</v>
      </c>
      <c r="B145">
        <v>236</v>
      </c>
      <c r="C145" t="s">
        <v>1541</v>
      </c>
      <c r="D145" t="s">
        <v>130</v>
      </c>
      <c r="E145">
        <v>3100</v>
      </c>
      <c r="F145" t="s">
        <v>0</v>
      </c>
      <c r="G145" t="s">
        <v>1525</v>
      </c>
      <c r="H145" t="s">
        <v>1425</v>
      </c>
      <c r="I145" t="s">
        <v>1426</v>
      </c>
      <c r="J145" t="s">
        <v>1426</v>
      </c>
      <c r="O145">
        <v>236</v>
      </c>
      <c r="P145" t="str">
        <f t="shared" si="11"/>
        <v>YAYIK MİNİSAN 10 LT KAYMAKÇI</v>
      </c>
      <c r="Q145" s="1">
        <f t="shared" si="12"/>
        <v>6200</v>
      </c>
      <c r="R145" t="str">
        <f t="shared" si="13"/>
        <v>TL</v>
      </c>
      <c r="S145" t="str">
        <f t="shared" si="14"/>
        <v>KEA</v>
      </c>
      <c r="T145" t="str">
        <f t="shared" si="10"/>
        <v>kea</v>
      </c>
    </row>
    <row r="146" spans="1:20" x14ac:dyDescent="0.25">
      <c r="A146" t="s">
        <v>1422</v>
      </c>
      <c r="B146">
        <v>237</v>
      </c>
      <c r="C146" t="s">
        <v>1540</v>
      </c>
      <c r="D146" t="s">
        <v>131</v>
      </c>
      <c r="E146">
        <v>3250</v>
      </c>
      <c r="F146" t="s">
        <v>0</v>
      </c>
      <c r="G146" t="s">
        <v>1525</v>
      </c>
      <c r="H146" t="s">
        <v>1425</v>
      </c>
      <c r="I146" t="s">
        <v>1426</v>
      </c>
      <c r="J146" t="s">
        <v>1426</v>
      </c>
      <c r="O146">
        <v>237</v>
      </c>
      <c r="P146" t="str">
        <f t="shared" si="11"/>
        <v>YAYIK MİNİSAN 15 LT YUVARLAK</v>
      </c>
      <c r="Q146" s="1">
        <f t="shared" si="12"/>
        <v>6500</v>
      </c>
      <c r="R146" t="str">
        <f t="shared" si="13"/>
        <v>TL</v>
      </c>
      <c r="S146" t="str">
        <f t="shared" si="14"/>
        <v>KEA</v>
      </c>
      <c r="T146" t="str">
        <f t="shared" si="10"/>
        <v>kea</v>
      </c>
    </row>
    <row r="147" spans="1:20" x14ac:dyDescent="0.25">
      <c r="A147" t="s">
        <v>1422</v>
      </c>
      <c r="B147">
        <v>237</v>
      </c>
      <c r="C147" t="s">
        <v>1540</v>
      </c>
      <c r="D147" t="s">
        <v>131</v>
      </c>
      <c r="E147">
        <v>3250</v>
      </c>
      <c r="F147" t="s">
        <v>0</v>
      </c>
      <c r="G147" t="s">
        <v>1525</v>
      </c>
      <c r="H147" t="s">
        <v>1425</v>
      </c>
      <c r="I147" t="s">
        <v>1426</v>
      </c>
      <c r="J147" t="s">
        <v>1426</v>
      </c>
      <c r="O147">
        <v>237</v>
      </c>
      <c r="P147" t="str">
        <f t="shared" si="11"/>
        <v>YAYIK MİNİSAN 15 LT YUVARLAK</v>
      </c>
      <c r="Q147" s="1">
        <f t="shared" si="12"/>
        <v>6500</v>
      </c>
      <c r="R147" t="str">
        <f t="shared" si="13"/>
        <v>TL</v>
      </c>
      <c r="S147" t="str">
        <f t="shared" si="14"/>
        <v>KEA</v>
      </c>
      <c r="T147" t="str">
        <f t="shared" si="10"/>
        <v>kea</v>
      </c>
    </row>
    <row r="148" spans="1:20" x14ac:dyDescent="0.25">
      <c r="A148" t="s">
        <v>1422</v>
      </c>
      <c r="B148">
        <v>238</v>
      </c>
      <c r="C148" t="s">
        <v>1588</v>
      </c>
      <c r="D148" t="s">
        <v>132</v>
      </c>
      <c r="E148">
        <v>1000</v>
      </c>
      <c r="F148" t="s">
        <v>0</v>
      </c>
      <c r="G148" t="s">
        <v>1525</v>
      </c>
      <c r="H148" t="s">
        <v>1425</v>
      </c>
      <c r="I148" t="s">
        <v>1426</v>
      </c>
      <c r="J148" t="s">
        <v>1426</v>
      </c>
      <c r="O148">
        <v>238</v>
      </c>
      <c r="P148" t="str">
        <f t="shared" si="11"/>
        <v>UFO MİNİSAN 2000W UFO</v>
      </c>
      <c r="Q148" s="1">
        <f t="shared" si="12"/>
        <v>2000</v>
      </c>
      <c r="R148" t="str">
        <f t="shared" si="13"/>
        <v>TL</v>
      </c>
      <c r="S148" t="str">
        <f t="shared" si="14"/>
        <v>KEA</v>
      </c>
      <c r="T148" t="str">
        <f t="shared" si="10"/>
        <v>kea</v>
      </c>
    </row>
    <row r="149" spans="1:20" x14ac:dyDescent="0.25">
      <c r="A149" t="s">
        <v>1422</v>
      </c>
      <c r="B149">
        <v>239</v>
      </c>
      <c r="C149" t="s">
        <v>2186</v>
      </c>
      <c r="D149" t="s">
        <v>133</v>
      </c>
      <c r="E149">
        <v>0</v>
      </c>
      <c r="F149" t="s">
        <v>0</v>
      </c>
      <c r="G149" t="s">
        <v>1525</v>
      </c>
      <c r="H149" t="s">
        <v>1425</v>
      </c>
      <c r="I149" t="s">
        <v>1426</v>
      </c>
      <c r="J149" t="s">
        <v>1426</v>
      </c>
      <c r="O149">
        <v>239</v>
      </c>
      <c r="P149" t="str">
        <f t="shared" si="11"/>
        <v>FIRIN MİNİSAN 2002 45 LT KÖŞELİ</v>
      </c>
      <c r="Q149" s="1">
        <f t="shared" si="12"/>
        <v>0</v>
      </c>
      <c r="R149" t="str">
        <f t="shared" si="13"/>
        <v>TL</v>
      </c>
      <c r="S149" t="str">
        <f t="shared" si="14"/>
        <v>KEA</v>
      </c>
      <c r="T149" t="str">
        <f t="shared" si="10"/>
        <v>kea</v>
      </c>
    </row>
    <row r="150" spans="1:20" x14ac:dyDescent="0.25">
      <c r="A150" t="s">
        <v>1422</v>
      </c>
      <c r="B150">
        <v>240</v>
      </c>
      <c r="C150" t="s">
        <v>1539</v>
      </c>
      <c r="D150" t="s">
        <v>134</v>
      </c>
      <c r="E150">
        <v>3300</v>
      </c>
      <c r="F150" t="s">
        <v>0</v>
      </c>
      <c r="G150" t="s">
        <v>1525</v>
      </c>
      <c r="H150" t="s">
        <v>1425</v>
      </c>
      <c r="I150" t="s">
        <v>1426</v>
      </c>
      <c r="J150" t="s">
        <v>1426</v>
      </c>
      <c r="O150">
        <v>240</v>
      </c>
      <c r="P150" t="str">
        <f t="shared" si="11"/>
        <v>YAYIK MİNİSAN 25 LT YUVARLAK</v>
      </c>
      <c r="Q150" s="1">
        <f t="shared" si="12"/>
        <v>6600</v>
      </c>
      <c r="R150" t="str">
        <f t="shared" si="13"/>
        <v>TL</v>
      </c>
      <c r="S150" t="str">
        <f t="shared" si="14"/>
        <v>KEA</v>
      </c>
      <c r="T150" t="str">
        <f t="shared" si="10"/>
        <v>kea</v>
      </c>
    </row>
    <row r="151" spans="1:20" x14ac:dyDescent="0.25">
      <c r="A151" t="s">
        <v>1422</v>
      </c>
      <c r="B151">
        <v>241</v>
      </c>
      <c r="C151" t="s">
        <v>1587</v>
      </c>
      <c r="D151" t="s">
        <v>135</v>
      </c>
      <c r="E151">
        <v>1250</v>
      </c>
      <c r="F151" t="s">
        <v>0</v>
      </c>
      <c r="G151" t="s">
        <v>1525</v>
      </c>
      <c r="H151" t="s">
        <v>1425</v>
      </c>
      <c r="I151" t="s">
        <v>1426</v>
      </c>
      <c r="J151" t="s">
        <v>1426</v>
      </c>
      <c r="O151">
        <v>241</v>
      </c>
      <c r="P151" t="str">
        <f t="shared" si="11"/>
        <v>UFO MİNİSAN 2600W</v>
      </c>
      <c r="Q151" s="1">
        <f t="shared" si="12"/>
        <v>2500</v>
      </c>
      <c r="R151" t="str">
        <f t="shared" si="13"/>
        <v>TL</v>
      </c>
      <c r="S151" t="str">
        <f t="shared" si="14"/>
        <v>KEA</v>
      </c>
      <c r="T151" t="str">
        <f t="shared" si="10"/>
        <v>kea</v>
      </c>
    </row>
    <row r="152" spans="1:20" x14ac:dyDescent="0.25">
      <c r="A152" t="s">
        <v>1422</v>
      </c>
      <c r="B152">
        <v>242</v>
      </c>
      <c r="C152" t="s">
        <v>1971</v>
      </c>
      <c r="D152" t="s">
        <v>136</v>
      </c>
      <c r="E152">
        <v>1750</v>
      </c>
      <c r="F152" t="s">
        <v>0</v>
      </c>
      <c r="G152" t="s">
        <v>1525</v>
      </c>
      <c r="H152" t="s">
        <v>1425</v>
      </c>
      <c r="I152" t="s">
        <v>1426</v>
      </c>
      <c r="J152" t="s">
        <v>1426</v>
      </c>
      <c r="O152">
        <v>242</v>
      </c>
      <c r="P152" t="str">
        <f t="shared" si="11"/>
        <v>MİNİSAN 3+1 PLEYTLİ ÇAKMAKLI KLASİK OCAK</v>
      </c>
      <c r="Q152" s="1">
        <f t="shared" si="12"/>
        <v>3500</v>
      </c>
      <c r="R152" t="str">
        <f t="shared" si="13"/>
        <v>TL</v>
      </c>
      <c r="S152" t="str">
        <f t="shared" si="14"/>
        <v>KEA</v>
      </c>
      <c r="T152" t="str">
        <f t="shared" si="10"/>
        <v>kea</v>
      </c>
    </row>
    <row r="153" spans="1:20" x14ac:dyDescent="0.25">
      <c r="A153" t="s">
        <v>1422</v>
      </c>
      <c r="B153">
        <v>243</v>
      </c>
      <c r="C153" t="s">
        <v>1586</v>
      </c>
      <c r="D153" t="s">
        <v>137</v>
      </c>
      <c r="E153">
        <v>1350</v>
      </c>
      <c r="F153" t="s">
        <v>0</v>
      </c>
      <c r="G153" t="s">
        <v>1525</v>
      </c>
      <c r="H153" t="s">
        <v>1425</v>
      </c>
      <c r="I153" t="s">
        <v>1426</v>
      </c>
      <c r="J153" t="s">
        <v>1426</v>
      </c>
      <c r="O153">
        <v>243</v>
      </c>
      <c r="P153" t="str">
        <f t="shared" si="11"/>
        <v>UFO MİNİSAN 3000W</v>
      </c>
      <c r="Q153" s="1">
        <f t="shared" si="12"/>
        <v>2700</v>
      </c>
      <c r="R153" t="str">
        <f t="shared" si="13"/>
        <v>TL</v>
      </c>
      <c r="S153" t="str">
        <f t="shared" si="14"/>
        <v>KEA</v>
      </c>
      <c r="T153" t="str">
        <f t="shared" si="10"/>
        <v>kea</v>
      </c>
    </row>
    <row r="154" spans="1:20" x14ac:dyDescent="0.25">
      <c r="A154" t="s">
        <v>1422</v>
      </c>
      <c r="B154">
        <v>244</v>
      </c>
      <c r="C154" t="s">
        <v>1538</v>
      </c>
      <c r="D154" t="s">
        <v>138</v>
      </c>
      <c r="E154">
        <v>3550</v>
      </c>
      <c r="F154" t="s">
        <v>0</v>
      </c>
      <c r="G154" t="s">
        <v>1525</v>
      </c>
      <c r="H154" t="s">
        <v>1425</v>
      </c>
      <c r="I154" t="s">
        <v>1426</v>
      </c>
      <c r="J154" t="s">
        <v>1426</v>
      </c>
      <c r="O154">
        <v>244</v>
      </c>
      <c r="P154" t="str">
        <f t="shared" si="11"/>
        <v>YAYIK MİNİSAN 37 LT YUVARLAK</v>
      </c>
      <c r="Q154" s="1">
        <f t="shared" si="12"/>
        <v>7100</v>
      </c>
      <c r="R154" t="str">
        <f t="shared" si="13"/>
        <v>TL</v>
      </c>
      <c r="S154" t="str">
        <f t="shared" si="14"/>
        <v>KEA</v>
      </c>
      <c r="T154" t="str">
        <f t="shared" si="10"/>
        <v>kea</v>
      </c>
    </row>
    <row r="155" spans="1:20" x14ac:dyDescent="0.25">
      <c r="A155" t="s">
        <v>1422</v>
      </c>
      <c r="B155">
        <v>245</v>
      </c>
      <c r="C155" t="s">
        <v>1537</v>
      </c>
      <c r="D155" t="s">
        <v>139</v>
      </c>
      <c r="E155">
        <v>3650</v>
      </c>
      <c r="F155" t="s">
        <v>0</v>
      </c>
      <c r="G155" t="s">
        <v>1525</v>
      </c>
      <c r="H155" t="s">
        <v>1425</v>
      </c>
      <c r="I155" t="s">
        <v>1426</v>
      </c>
      <c r="J155" t="s">
        <v>1426</v>
      </c>
      <c r="O155">
        <v>245</v>
      </c>
      <c r="P155" t="str">
        <f t="shared" si="11"/>
        <v>YAYIK MİNİSAN 40 LT YUVARLAK</v>
      </c>
      <c r="Q155" s="1">
        <f t="shared" si="12"/>
        <v>7300</v>
      </c>
      <c r="R155" t="str">
        <f t="shared" si="13"/>
        <v>TL</v>
      </c>
      <c r="S155" t="str">
        <f t="shared" si="14"/>
        <v>KEA</v>
      </c>
      <c r="T155" t="str">
        <f t="shared" si="10"/>
        <v>kea</v>
      </c>
    </row>
    <row r="156" spans="1:20" x14ac:dyDescent="0.25">
      <c r="A156" t="s">
        <v>1422</v>
      </c>
      <c r="B156">
        <v>246</v>
      </c>
      <c r="C156" t="s">
        <v>1536</v>
      </c>
      <c r="D156" t="s">
        <v>140</v>
      </c>
      <c r="E156">
        <v>3700</v>
      </c>
      <c r="F156" t="s">
        <v>0</v>
      </c>
      <c r="G156" t="s">
        <v>1525</v>
      </c>
      <c r="H156" t="s">
        <v>1425</v>
      </c>
      <c r="I156" t="s">
        <v>1426</v>
      </c>
      <c r="J156" t="s">
        <v>1426</v>
      </c>
      <c r="O156">
        <v>246</v>
      </c>
      <c r="P156" t="str">
        <f t="shared" si="11"/>
        <v>YAYIK MİNİSAN 45 LT YUVARLAK</v>
      </c>
      <c r="Q156" s="1">
        <f t="shared" si="12"/>
        <v>7400</v>
      </c>
      <c r="R156" t="str">
        <f t="shared" si="13"/>
        <v>TL</v>
      </c>
      <c r="S156" t="str">
        <f t="shared" si="14"/>
        <v>KEA</v>
      </c>
      <c r="T156" t="str">
        <f t="shared" si="10"/>
        <v>kea</v>
      </c>
    </row>
    <row r="157" spans="1:20" x14ac:dyDescent="0.25">
      <c r="A157" t="s">
        <v>1422</v>
      </c>
      <c r="B157">
        <v>247</v>
      </c>
      <c r="C157" t="s">
        <v>1535</v>
      </c>
      <c r="D157" t="s">
        <v>141</v>
      </c>
      <c r="E157">
        <v>4100</v>
      </c>
      <c r="F157" t="s">
        <v>0</v>
      </c>
      <c r="G157" t="s">
        <v>1525</v>
      </c>
      <c r="H157" t="s">
        <v>1425</v>
      </c>
      <c r="I157" t="s">
        <v>1426</v>
      </c>
      <c r="J157" t="s">
        <v>1426</v>
      </c>
      <c r="O157">
        <v>247</v>
      </c>
      <c r="P157" t="str">
        <f t="shared" si="11"/>
        <v>YAYIK MİNİSAN 55 LT KÖŞELİ</v>
      </c>
      <c r="Q157" s="1">
        <f t="shared" si="12"/>
        <v>8200</v>
      </c>
      <c r="R157" t="str">
        <f t="shared" si="13"/>
        <v>TL</v>
      </c>
      <c r="S157" t="str">
        <f t="shared" si="14"/>
        <v>KEA</v>
      </c>
      <c r="T157" t="str">
        <f t="shared" si="10"/>
        <v>kea</v>
      </c>
    </row>
    <row r="158" spans="1:20" x14ac:dyDescent="0.25">
      <c r="A158" t="s">
        <v>1422</v>
      </c>
      <c r="B158">
        <v>248</v>
      </c>
      <c r="C158" t="s">
        <v>1534</v>
      </c>
      <c r="D158" t="s">
        <v>142</v>
      </c>
      <c r="E158">
        <v>3850</v>
      </c>
      <c r="F158" t="s">
        <v>0</v>
      </c>
      <c r="G158" t="s">
        <v>1525</v>
      </c>
      <c r="H158" t="s">
        <v>1425</v>
      </c>
      <c r="I158" t="s">
        <v>1426</v>
      </c>
      <c r="J158" t="s">
        <v>1426</v>
      </c>
      <c r="O158">
        <v>248</v>
      </c>
      <c r="P158" t="str">
        <f t="shared" si="11"/>
        <v>YAYIK MİNİSAN 55 LT YUVARLAK</v>
      </c>
      <c r="Q158" s="1">
        <f t="shared" si="12"/>
        <v>7700</v>
      </c>
      <c r="R158" t="str">
        <f t="shared" si="13"/>
        <v>TL</v>
      </c>
      <c r="S158" t="str">
        <f t="shared" si="14"/>
        <v>KEA</v>
      </c>
      <c r="T158" t="str">
        <f t="shared" si="10"/>
        <v>kea</v>
      </c>
    </row>
    <row r="159" spans="1:20" x14ac:dyDescent="0.25">
      <c r="A159" t="s">
        <v>1422</v>
      </c>
      <c r="B159">
        <v>249</v>
      </c>
      <c r="C159" t="s">
        <v>1970</v>
      </c>
      <c r="D159" t="s">
        <v>143</v>
      </c>
      <c r="E159">
        <v>4000</v>
      </c>
      <c r="F159" t="s">
        <v>0</v>
      </c>
      <c r="G159" t="s">
        <v>1525</v>
      </c>
      <c r="H159" t="s">
        <v>1425</v>
      </c>
      <c r="I159" t="s">
        <v>1426</v>
      </c>
      <c r="J159" t="s">
        <v>1426</v>
      </c>
      <c r="O159">
        <v>249</v>
      </c>
      <c r="P159" t="str">
        <f t="shared" si="11"/>
        <v>MİNİSAN ANKASTRE EMAYE OCAK</v>
      </c>
      <c r="Q159" s="1">
        <f t="shared" si="12"/>
        <v>8000</v>
      </c>
      <c r="R159" t="str">
        <f t="shared" si="13"/>
        <v>TL</v>
      </c>
      <c r="S159" t="str">
        <f t="shared" si="14"/>
        <v>KEA</v>
      </c>
      <c r="T159" t="str">
        <f t="shared" si="10"/>
        <v>kea</v>
      </c>
    </row>
    <row r="160" spans="1:20" x14ac:dyDescent="0.25">
      <c r="A160" t="s">
        <v>1422</v>
      </c>
      <c r="B160">
        <v>250</v>
      </c>
      <c r="C160" t="s">
        <v>1585</v>
      </c>
      <c r="D160" t="s">
        <v>144</v>
      </c>
      <c r="E160">
        <v>1450</v>
      </c>
      <c r="F160" t="s">
        <v>0</v>
      </c>
      <c r="G160" t="s">
        <v>1525</v>
      </c>
      <c r="H160" t="s">
        <v>1425</v>
      </c>
      <c r="I160" t="s">
        <v>1426</v>
      </c>
      <c r="J160" t="s">
        <v>1426</v>
      </c>
      <c r="O160">
        <v>250</v>
      </c>
      <c r="P160" t="str">
        <f t="shared" si="11"/>
        <v>UFO MİNİSAN AR 2002 2900W ÇİFT FLEMENTLİ</v>
      </c>
      <c r="Q160" s="1">
        <f t="shared" si="12"/>
        <v>2900</v>
      </c>
      <c r="R160" t="str">
        <f t="shared" si="13"/>
        <v>TL</v>
      </c>
      <c r="S160" t="str">
        <f t="shared" si="14"/>
        <v>KEA</v>
      </c>
      <c r="T160" t="str">
        <f t="shared" si="10"/>
        <v>kea</v>
      </c>
    </row>
    <row r="161" spans="1:20" x14ac:dyDescent="0.25">
      <c r="A161" t="s">
        <v>1422</v>
      </c>
      <c r="B161">
        <v>251</v>
      </c>
      <c r="C161" t="s">
        <v>1584</v>
      </c>
      <c r="D161" t="s">
        <v>145</v>
      </c>
      <c r="E161">
        <v>1450</v>
      </c>
      <c r="F161" t="s">
        <v>0</v>
      </c>
      <c r="G161" t="s">
        <v>1525</v>
      </c>
      <c r="H161" t="s">
        <v>1425</v>
      </c>
      <c r="I161" t="s">
        <v>1426</v>
      </c>
      <c r="J161" t="s">
        <v>1426</v>
      </c>
      <c r="O161">
        <v>251</v>
      </c>
      <c r="P161" t="str">
        <f t="shared" si="11"/>
        <v>UFO MİNİSAN AR 3000W ÇİFT FLEMENTLİ</v>
      </c>
      <c r="Q161" s="1">
        <f t="shared" si="12"/>
        <v>2900</v>
      </c>
      <c r="R161" t="str">
        <f t="shared" si="13"/>
        <v>TL</v>
      </c>
      <c r="S161" t="str">
        <f t="shared" si="14"/>
        <v>KEA</v>
      </c>
      <c r="T161" t="str">
        <f t="shared" si="10"/>
        <v>kea</v>
      </c>
    </row>
    <row r="162" spans="1:20" x14ac:dyDescent="0.25">
      <c r="A162" t="s">
        <v>1422</v>
      </c>
      <c r="B162">
        <v>252</v>
      </c>
      <c r="C162" t="s">
        <v>1969</v>
      </c>
      <c r="D162" t="s">
        <v>146</v>
      </c>
      <c r="E162">
        <v>1550</v>
      </c>
      <c r="F162" t="s">
        <v>0</v>
      </c>
      <c r="G162" t="s">
        <v>1525</v>
      </c>
      <c r="H162" t="s">
        <v>1425</v>
      </c>
      <c r="I162" t="s">
        <v>1426</v>
      </c>
      <c r="J162" t="s">
        <v>1426</v>
      </c>
      <c r="O162">
        <v>252</v>
      </c>
      <c r="P162" t="str">
        <f t="shared" si="11"/>
        <v>MİNİSAN ÇİFTLİ PLEYTLİ</v>
      </c>
      <c r="Q162" s="1">
        <f t="shared" si="12"/>
        <v>3100</v>
      </c>
      <c r="R162" t="str">
        <f t="shared" si="13"/>
        <v>TL</v>
      </c>
      <c r="S162" t="str">
        <f t="shared" si="14"/>
        <v>KEA</v>
      </c>
      <c r="T162" t="str">
        <f t="shared" si="10"/>
        <v>kea</v>
      </c>
    </row>
    <row r="163" spans="1:20" x14ac:dyDescent="0.25">
      <c r="A163" t="s">
        <v>1422</v>
      </c>
      <c r="B163">
        <v>253</v>
      </c>
      <c r="C163" t="s">
        <v>1851</v>
      </c>
      <c r="D163" t="s">
        <v>826</v>
      </c>
      <c r="E163">
        <v>0</v>
      </c>
      <c r="F163" t="s">
        <v>0</v>
      </c>
      <c r="G163" t="s">
        <v>1525</v>
      </c>
      <c r="H163" t="s">
        <v>1425</v>
      </c>
      <c r="I163" t="s">
        <v>1426</v>
      </c>
      <c r="J163" t="s">
        <v>1426</v>
      </c>
      <c r="O163">
        <v>253</v>
      </c>
      <c r="P163" t="str">
        <f t="shared" si="11"/>
        <v>QUARTZ SOBA MİNİSAN DP 1200W AYAK ALTI SOBA</v>
      </c>
      <c r="Q163" s="1">
        <f t="shared" si="12"/>
        <v>0</v>
      </c>
      <c r="R163" t="str">
        <f t="shared" si="13"/>
        <v>TL</v>
      </c>
      <c r="S163" t="str">
        <f t="shared" si="14"/>
        <v>KEA</v>
      </c>
      <c r="T163" t="str">
        <f t="shared" si="10"/>
        <v>kea</v>
      </c>
    </row>
    <row r="164" spans="1:20" x14ac:dyDescent="0.25">
      <c r="A164" t="s">
        <v>1422</v>
      </c>
      <c r="B164">
        <v>254</v>
      </c>
      <c r="C164" t="s">
        <v>1850</v>
      </c>
      <c r="D164" t="s">
        <v>147</v>
      </c>
      <c r="E164">
        <v>2250</v>
      </c>
      <c r="F164" t="s">
        <v>0</v>
      </c>
      <c r="G164" t="s">
        <v>1525</v>
      </c>
      <c r="H164" t="s">
        <v>1425</v>
      </c>
      <c r="I164" t="s">
        <v>1426</v>
      </c>
      <c r="J164" t="s">
        <v>1426</v>
      </c>
      <c r="O164">
        <v>254</v>
      </c>
      <c r="P164" t="str">
        <f t="shared" si="11"/>
        <v>QUARTZ SOBA MİNİSAN MAXİ 2500W BUHARLI</v>
      </c>
      <c r="Q164" s="1">
        <f t="shared" si="12"/>
        <v>4500</v>
      </c>
      <c r="R164" t="str">
        <f t="shared" si="13"/>
        <v>TL</v>
      </c>
      <c r="S164" t="str">
        <f t="shared" si="14"/>
        <v>KEA</v>
      </c>
      <c r="T164" t="str">
        <f t="shared" si="10"/>
        <v>kea</v>
      </c>
    </row>
    <row r="165" spans="1:20" x14ac:dyDescent="0.25">
      <c r="A165" t="s">
        <v>1422</v>
      </c>
      <c r="B165">
        <v>255</v>
      </c>
      <c r="C165" t="s">
        <v>1849</v>
      </c>
      <c r="D165" t="s">
        <v>148</v>
      </c>
      <c r="E165">
        <v>1900</v>
      </c>
      <c r="F165" t="s">
        <v>0</v>
      </c>
      <c r="G165" t="s">
        <v>1525</v>
      </c>
      <c r="H165" t="s">
        <v>1425</v>
      </c>
      <c r="I165" t="s">
        <v>1426</v>
      </c>
      <c r="J165" t="s">
        <v>1426</v>
      </c>
      <c r="O165">
        <v>255</v>
      </c>
      <c r="P165" t="str">
        <f t="shared" si="11"/>
        <v>QUARTZ SOBA MİNİSAN MİDİ 2100W BUHARLI</v>
      </c>
      <c r="Q165" s="1">
        <f t="shared" si="12"/>
        <v>3800</v>
      </c>
      <c r="R165" t="str">
        <f t="shared" si="13"/>
        <v>TL</v>
      </c>
      <c r="S165" t="str">
        <f t="shared" si="14"/>
        <v>KEA</v>
      </c>
      <c r="T165" t="str">
        <f t="shared" si="10"/>
        <v>kea</v>
      </c>
    </row>
    <row r="166" spans="1:20" x14ac:dyDescent="0.25">
      <c r="A166" t="s">
        <v>1422</v>
      </c>
      <c r="B166">
        <v>256</v>
      </c>
      <c r="C166" t="s">
        <v>1968</v>
      </c>
      <c r="D166" t="s">
        <v>149</v>
      </c>
      <c r="E166">
        <v>0</v>
      </c>
      <c r="F166" t="s">
        <v>0</v>
      </c>
      <c r="G166" t="s">
        <v>1525</v>
      </c>
      <c r="H166" t="s">
        <v>1425</v>
      </c>
      <c r="I166" t="s">
        <v>1426</v>
      </c>
      <c r="J166" t="s">
        <v>1426</v>
      </c>
      <c r="O166">
        <v>256</v>
      </c>
      <c r="P166" t="str">
        <f t="shared" si="11"/>
        <v>MİNİSAN SARHOŞ VANTİLATÖR VENÜS 18İNÇ</v>
      </c>
      <c r="Q166" s="1">
        <f t="shared" si="12"/>
        <v>0</v>
      </c>
      <c r="R166" t="str">
        <f t="shared" si="13"/>
        <v>TL</v>
      </c>
      <c r="S166" t="str">
        <f t="shared" si="14"/>
        <v>KEA</v>
      </c>
      <c r="T166" t="str">
        <f t="shared" si="10"/>
        <v>kea</v>
      </c>
    </row>
    <row r="167" spans="1:20" x14ac:dyDescent="0.25">
      <c r="A167" t="s">
        <v>1422</v>
      </c>
      <c r="B167">
        <v>257</v>
      </c>
      <c r="C167" t="s">
        <v>1967</v>
      </c>
      <c r="D167" t="s">
        <v>150</v>
      </c>
      <c r="E167">
        <v>1050</v>
      </c>
      <c r="F167" t="s">
        <v>0</v>
      </c>
      <c r="G167" t="s">
        <v>1525</v>
      </c>
      <c r="H167" t="s">
        <v>1425</v>
      </c>
      <c r="I167" t="s">
        <v>1426</v>
      </c>
      <c r="J167" t="s">
        <v>1426</v>
      </c>
      <c r="O167">
        <v>257</v>
      </c>
      <c r="P167" t="str">
        <f t="shared" si="11"/>
        <v>MİNİSAN TEKLİ PLEYTLİ 1500W</v>
      </c>
      <c r="Q167" s="1">
        <f t="shared" si="12"/>
        <v>2100</v>
      </c>
      <c r="R167" t="str">
        <f t="shared" si="13"/>
        <v>TL</v>
      </c>
      <c r="S167" t="str">
        <f t="shared" si="14"/>
        <v>KEA</v>
      </c>
      <c r="T167" t="str">
        <f t="shared" si="10"/>
        <v>kea</v>
      </c>
    </row>
    <row r="168" spans="1:20" x14ac:dyDescent="0.25">
      <c r="A168" t="s">
        <v>1422</v>
      </c>
      <c r="B168">
        <v>258</v>
      </c>
      <c r="C168" t="s">
        <v>1974</v>
      </c>
      <c r="D168" t="s">
        <v>151</v>
      </c>
      <c r="E168">
        <v>3000</v>
      </c>
      <c r="F168" t="s">
        <v>0</v>
      </c>
      <c r="G168" t="s">
        <v>1525</v>
      </c>
      <c r="H168" t="s">
        <v>1425</v>
      </c>
      <c r="I168" t="s">
        <v>1426</v>
      </c>
      <c r="J168" t="s">
        <v>1426</v>
      </c>
      <c r="O168">
        <v>258</v>
      </c>
      <c r="P168" t="str">
        <f t="shared" si="11"/>
        <v>MİNİSAN-MAXİMUS 6401 FFD OCAK</v>
      </c>
      <c r="Q168" s="1">
        <f t="shared" si="12"/>
        <v>6000</v>
      </c>
      <c r="R168" t="str">
        <f t="shared" si="13"/>
        <v>TL</v>
      </c>
      <c r="S168" t="str">
        <f t="shared" si="14"/>
        <v>KEA</v>
      </c>
      <c r="T168" t="str">
        <f t="shared" si="10"/>
        <v>kea</v>
      </c>
    </row>
    <row r="169" spans="1:20" x14ac:dyDescent="0.25">
      <c r="A169" t="s">
        <v>1422</v>
      </c>
      <c r="B169">
        <v>259</v>
      </c>
      <c r="C169" t="s">
        <v>1975</v>
      </c>
      <c r="D169" t="s">
        <v>152</v>
      </c>
      <c r="E169">
        <v>3000</v>
      </c>
      <c r="F169" t="s">
        <v>0</v>
      </c>
      <c r="G169" t="s">
        <v>1525</v>
      </c>
      <c r="H169" t="s">
        <v>1425</v>
      </c>
      <c r="I169" t="s">
        <v>1426</v>
      </c>
      <c r="J169" t="s">
        <v>1426</v>
      </c>
      <c r="O169">
        <v>260</v>
      </c>
      <c r="P169" t="str">
        <f t="shared" si="11"/>
        <v>MİNİSAN-MAXİMUS KLASİK GAZ EMNİYETLİ OCAK</v>
      </c>
      <c r="Q169" s="1">
        <f t="shared" si="12"/>
        <v>4000</v>
      </c>
      <c r="R169" t="str">
        <f t="shared" si="13"/>
        <v>TL</v>
      </c>
      <c r="S169" t="str">
        <f t="shared" si="14"/>
        <v>KEA</v>
      </c>
      <c r="T169" t="str">
        <f t="shared" si="10"/>
        <v>kea</v>
      </c>
    </row>
    <row r="170" spans="1:20" x14ac:dyDescent="0.25">
      <c r="A170" t="s">
        <v>1422</v>
      </c>
      <c r="B170">
        <v>260</v>
      </c>
      <c r="C170" t="s">
        <v>1973</v>
      </c>
      <c r="D170" t="s">
        <v>153</v>
      </c>
      <c r="E170">
        <v>2000</v>
      </c>
      <c r="F170" t="s">
        <v>0</v>
      </c>
      <c r="G170" t="s">
        <v>1525</v>
      </c>
      <c r="H170" t="s">
        <v>1425</v>
      </c>
      <c r="I170" t="s">
        <v>1426</v>
      </c>
      <c r="J170" t="s">
        <v>1426</v>
      </c>
      <c r="O170">
        <v>261</v>
      </c>
      <c r="P170" t="str">
        <f t="shared" si="11"/>
        <v>QUARTZ SOBA ONİX AYAK ALTI (GARANTİSİZ)</v>
      </c>
      <c r="Q170" s="1">
        <f t="shared" si="12"/>
        <v>750</v>
      </c>
      <c r="R170" t="str">
        <f t="shared" si="13"/>
        <v>TL</v>
      </c>
      <c r="S170" t="str">
        <f t="shared" si="14"/>
        <v>KEA</v>
      </c>
      <c r="T170" t="str">
        <f t="shared" si="10"/>
        <v>kea</v>
      </c>
    </row>
    <row r="171" spans="1:20" x14ac:dyDescent="0.25">
      <c r="A171" t="s">
        <v>1422</v>
      </c>
      <c r="B171">
        <v>261</v>
      </c>
      <c r="C171" t="s">
        <v>1848</v>
      </c>
      <c r="D171" t="s">
        <v>827</v>
      </c>
      <c r="E171">
        <v>375</v>
      </c>
      <c r="F171" t="s">
        <v>0</v>
      </c>
      <c r="G171" t="s">
        <v>1525</v>
      </c>
      <c r="H171" t="s">
        <v>1425</v>
      </c>
      <c r="I171" t="s">
        <v>1426</v>
      </c>
      <c r="J171" t="s">
        <v>1426</v>
      </c>
      <c r="O171">
        <v>264</v>
      </c>
      <c r="P171" t="str">
        <f t="shared" si="11"/>
        <v xml:space="preserve">SEMAVER PEGASUS BÜYÜK BOY ELEKTRİKLİ </v>
      </c>
      <c r="Q171" s="1">
        <f t="shared" si="12"/>
        <v>3900</v>
      </c>
      <c r="R171" t="str">
        <f t="shared" si="13"/>
        <v>TL</v>
      </c>
      <c r="S171" t="str">
        <f t="shared" si="14"/>
        <v>KEA</v>
      </c>
      <c r="T171" t="str">
        <f t="shared" si="10"/>
        <v>kea</v>
      </c>
    </row>
    <row r="172" spans="1:20" x14ac:dyDescent="0.25">
      <c r="A172" t="s">
        <v>1422</v>
      </c>
      <c r="B172">
        <v>264</v>
      </c>
      <c r="C172" t="s">
        <v>1679</v>
      </c>
      <c r="D172" t="s">
        <v>154</v>
      </c>
      <c r="E172">
        <v>1950</v>
      </c>
      <c r="F172" t="s">
        <v>0</v>
      </c>
      <c r="G172" t="s">
        <v>1525</v>
      </c>
      <c r="H172" t="s">
        <v>1425</v>
      </c>
      <c r="I172" t="s">
        <v>1426</v>
      </c>
      <c r="J172" t="s">
        <v>1426</v>
      </c>
      <c r="O172">
        <v>265</v>
      </c>
      <c r="P172" t="str">
        <f t="shared" si="11"/>
        <v>SEMAVER PEGASUS HANZADE ELEKTRİKLİ 4,5LT (6)</v>
      </c>
      <c r="Q172" s="1">
        <f t="shared" si="12"/>
        <v>4200</v>
      </c>
      <c r="R172" t="str">
        <f t="shared" si="13"/>
        <v>TL</v>
      </c>
      <c r="S172" t="str">
        <f t="shared" si="14"/>
        <v>KEA</v>
      </c>
      <c r="T172" t="str">
        <f t="shared" si="10"/>
        <v>kea</v>
      </c>
    </row>
    <row r="173" spans="1:20" x14ac:dyDescent="0.25">
      <c r="A173" t="s">
        <v>1422</v>
      </c>
      <c r="B173">
        <v>265</v>
      </c>
      <c r="C173" t="s">
        <v>1678</v>
      </c>
      <c r="D173" t="s">
        <v>155</v>
      </c>
      <c r="E173">
        <v>2100</v>
      </c>
      <c r="F173" t="s">
        <v>0</v>
      </c>
      <c r="G173" t="s">
        <v>1525</v>
      </c>
      <c r="H173" t="s">
        <v>1425</v>
      </c>
      <c r="I173" t="s">
        <v>1426</v>
      </c>
      <c r="J173" t="s">
        <v>1426</v>
      </c>
      <c r="O173">
        <v>266</v>
      </c>
      <c r="P173" t="str">
        <f t="shared" si="11"/>
        <v>SEMAVER PEGASUS KÜÇÜK BOY ELEKTRİKLİ (6)</v>
      </c>
      <c r="Q173" s="1">
        <f t="shared" si="12"/>
        <v>3600</v>
      </c>
      <c r="R173" t="str">
        <f t="shared" si="13"/>
        <v>TL</v>
      </c>
      <c r="S173" t="str">
        <f t="shared" si="14"/>
        <v>KEA</v>
      </c>
      <c r="T173" t="str">
        <f t="shared" si="10"/>
        <v>kea</v>
      </c>
    </row>
    <row r="174" spans="1:20" x14ac:dyDescent="0.25">
      <c r="A174" t="s">
        <v>1422</v>
      </c>
      <c r="B174">
        <v>266</v>
      </c>
      <c r="C174" t="s">
        <v>1677</v>
      </c>
      <c r="D174" t="s">
        <v>156</v>
      </c>
      <c r="E174">
        <v>1800</v>
      </c>
      <c r="F174" t="s">
        <v>0</v>
      </c>
      <c r="G174" t="s">
        <v>1525</v>
      </c>
      <c r="H174" t="s">
        <v>1425</v>
      </c>
      <c r="I174" t="s">
        <v>1426</v>
      </c>
      <c r="J174" t="s">
        <v>1426</v>
      </c>
      <c r="O174">
        <v>267</v>
      </c>
      <c r="P174" t="str">
        <f t="shared" si="11"/>
        <v>ÜTÜ PHİLİPS AZUR 2800W</v>
      </c>
      <c r="Q174" s="1">
        <f t="shared" si="12"/>
        <v>6700</v>
      </c>
      <c r="R174" t="str">
        <f t="shared" si="13"/>
        <v>TL</v>
      </c>
      <c r="S174" t="str">
        <f t="shared" si="14"/>
        <v>KEA</v>
      </c>
      <c r="T174" t="str">
        <f t="shared" si="10"/>
        <v>kea</v>
      </c>
    </row>
    <row r="175" spans="1:20" x14ac:dyDescent="0.25">
      <c r="A175" t="s">
        <v>1422</v>
      </c>
      <c r="B175">
        <v>267</v>
      </c>
      <c r="C175" t="s">
        <v>1567</v>
      </c>
      <c r="D175" t="s">
        <v>157</v>
      </c>
      <c r="E175">
        <v>3350</v>
      </c>
      <c r="F175" t="s">
        <v>0</v>
      </c>
      <c r="G175" t="s">
        <v>1525</v>
      </c>
      <c r="H175" t="s">
        <v>1425</v>
      </c>
      <c r="I175" t="s">
        <v>1426</v>
      </c>
      <c r="J175" t="s">
        <v>1426</v>
      </c>
      <c r="O175">
        <v>268</v>
      </c>
      <c r="P175" t="str">
        <f t="shared" si="11"/>
        <v>MİKSER PHİLİPS 3000 SERİSİ</v>
      </c>
      <c r="Q175" s="1">
        <f t="shared" si="12"/>
        <v>2600</v>
      </c>
      <c r="R175" t="str">
        <f t="shared" si="13"/>
        <v>TL</v>
      </c>
      <c r="S175" t="str">
        <f t="shared" si="14"/>
        <v>KEA</v>
      </c>
      <c r="T175" t="str">
        <f t="shared" si="10"/>
        <v>kea</v>
      </c>
    </row>
    <row r="176" spans="1:20" x14ac:dyDescent="0.25">
      <c r="A176" t="s">
        <v>1422</v>
      </c>
      <c r="B176">
        <v>268</v>
      </c>
      <c r="C176" t="s">
        <v>1977</v>
      </c>
      <c r="D176" t="s">
        <v>158</v>
      </c>
      <c r="E176">
        <v>1300</v>
      </c>
      <c r="F176" t="s">
        <v>0</v>
      </c>
      <c r="G176" t="s">
        <v>1525</v>
      </c>
      <c r="H176" t="s">
        <v>1425</v>
      </c>
      <c r="I176" t="s">
        <v>1426</v>
      </c>
      <c r="J176" t="s">
        <v>1426</v>
      </c>
      <c r="O176">
        <v>269</v>
      </c>
      <c r="P176" t="str">
        <f t="shared" si="11"/>
        <v>ÜTÜ PHİLİPS ESSENTİAL BUHAR KAZANLI</v>
      </c>
      <c r="Q176" s="1">
        <f t="shared" si="12"/>
        <v>15200</v>
      </c>
      <c r="R176" t="str">
        <f t="shared" si="13"/>
        <v>TL</v>
      </c>
      <c r="S176" t="str">
        <f t="shared" si="14"/>
        <v>KEA</v>
      </c>
      <c r="T176" t="str">
        <f t="shared" si="10"/>
        <v>kea</v>
      </c>
    </row>
    <row r="177" spans="1:20" x14ac:dyDescent="0.25">
      <c r="A177" t="s">
        <v>1422</v>
      </c>
      <c r="B177">
        <v>269</v>
      </c>
      <c r="C177" t="s">
        <v>1566</v>
      </c>
      <c r="D177" t="s">
        <v>159</v>
      </c>
      <c r="E177">
        <v>7600</v>
      </c>
      <c r="F177" t="s">
        <v>0</v>
      </c>
      <c r="G177" t="s">
        <v>1525</v>
      </c>
      <c r="H177" t="s">
        <v>1425</v>
      </c>
      <c r="I177" t="s">
        <v>1426</v>
      </c>
      <c r="J177" t="s">
        <v>1426</v>
      </c>
      <c r="O177">
        <v>270</v>
      </c>
      <c r="P177" t="str">
        <f t="shared" si="11"/>
        <v>ÜTÜ PHİLİPS S.GLİDE DST 5030 2500W</v>
      </c>
      <c r="Q177" s="1">
        <f t="shared" si="12"/>
        <v>5700</v>
      </c>
      <c r="R177" t="str">
        <f t="shared" si="13"/>
        <v>TL</v>
      </c>
      <c r="S177" t="str">
        <f t="shared" si="14"/>
        <v>KEA</v>
      </c>
      <c r="T177" t="str">
        <f t="shared" si="10"/>
        <v>kea</v>
      </c>
    </row>
    <row r="178" spans="1:20" x14ac:dyDescent="0.25">
      <c r="A178" t="s">
        <v>1422</v>
      </c>
      <c r="B178">
        <v>270</v>
      </c>
      <c r="C178" t="s">
        <v>1565</v>
      </c>
      <c r="D178" t="s">
        <v>160</v>
      </c>
      <c r="E178">
        <v>2850</v>
      </c>
      <c r="F178" t="s">
        <v>0</v>
      </c>
      <c r="G178" t="s">
        <v>1525</v>
      </c>
      <c r="H178" t="s">
        <v>1425</v>
      </c>
      <c r="I178" t="s">
        <v>1426</v>
      </c>
      <c r="J178" t="s">
        <v>1426</v>
      </c>
      <c r="O178">
        <v>271</v>
      </c>
      <c r="P178" t="str">
        <f t="shared" si="11"/>
        <v>SÜPÜRGE PHİLİPS POWERPRO CİTY</v>
      </c>
      <c r="Q178" s="1">
        <f t="shared" si="12"/>
        <v>17500</v>
      </c>
      <c r="R178" t="str">
        <f t="shared" si="13"/>
        <v>TL</v>
      </c>
      <c r="S178" t="str">
        <f t="shared" si="14"/>
        <v>KEA</v>
      </c>
      <c r="T178" t="str">
        <f t="shared" si="10"/>
        <v>kea</v>
      </c>
    </row>
    <row r="179" spans="1:20" x14ac:dyDescent="0.25">
      <c r="A179" t="s">
        <v>1422</v>
      </c>
      <c r="B179">
        <v>271</v>
      </c>
      <c r="C179" t="s">
        <v>1651</v>
      </c>
      <c r="D179" t="s">
        <v>161</v>
      </c>
      <c r="E179">
        <v>8750</v>
      </c>
      <c r="F179" t="s">
        <v>0</v>
      </c>
      <c r="G179" t="s">
        <v>1525</v>
      </c>
      <c r="H179" t="s">
        <v>1425</v>
      </c>
      <c r="I179" t="s">
        <v>1426</v>
      </c>
      <c r="J179" t="s">
        <v>1426</v>
      </c>
      <c r="O179">
        <v>272</v>
      </c>
      <c r="P179" t="str">
        <f t="shared" si="11"/>
        <v>FÖN MAKİNESİ POWERTECH</v>
      </c>
      <c r="Q179" s="1">
        <f t="shared" si="12"/>
        <v>0</v>
      </c>
      <c r="R179" t="str">
        <f t="shared" si="13"/>
        <v>TL</v>
      </c>
      <c r="S179" t="str">
        <f t="shared" si="14"/>
        <v>KEA</v>
      </c>
      <c r="T179" t="str">
        <f t="shared" si="10"/>
        <v>kea</v>
      </c>
    </row>
    <row r="180" spans="1:20" x14ac:dyDescent="0.25">
      <c r="A180" t="s">
        <v>1422</v>
      </c>
      <c r="B180">
        <v>272</v>
      </c>
      <c r="C180" t="s">
        <v>2172</v>
      </c>
      <c r="D180" t="s">
        <v>162</v>
      </c>
      <c r="E180">
        <v>0</v>
      </c>
      <c r="F180" t="s">
        <v>0</v>
      </c>
      <c r="G180" t="s">
        <v>1525</v>
      </c>
      <c r="H180" t="s">
        <v>1425</v>
      </c>
      <c r="I180" t="s">
        <v>1426</v>
      </c>
      <c r="J180" t="s">
        <v>1426</v>
      </c>
      <c r="O180">
        <v>273</v>
      </c>
      <c r="P180" t="str">
        <f t="shared" si="11"/>
        <v>TRAŞ MAKİNESİ POWERTECH</v>
      </c>
      <c r="Q180" s="1">
        <f t="shared" si="12"/>
        <v>350</v>
      </c>
      <c r="R180" t="str">
        <f t="shared" si="13"/>
        <v>TL</v>
      </c>
      <c r="S180" t="str">
        <f t="shared" si="14"/>
        <v>KEA</v>
      </c>
      <c r="T180" t="str">
        <f t="shared" si="10"/>
        <v>kea</v>
      </c>
    </row>
    <row r="181" spans="1:20" x14ac:dyDescent="0.25">
      <c r="A181" t="s">
        <v>1422</v>
      </c>
      <c r="B181">
        <v>273</v>
      </c>
      <c r="C181" t="s">
        <v>1602</v>
      </c>
      <c r="D181" t="s">
        <v>163</v>
      </c>
      <c r="E181">
        <v>175</v>
      </c>
      <c r="F181" t="s">
        <v>0</v>
      </c>
      <c r="G181" t="s">
        <v>1525</v>
      </c>
      <c r="H181" t="s">
        <v>1425</v>
      </c>
      <c r="I181" t="s">
        <v>1426</v>
      </c>
      <c r="J181" t="s">
        <v>1426</v>
      </c>
      <c r="O181">
        <v>274</v>
      </c>
      <c r="P181" t="str">
        <f t="shared" si="11"/>
        <v>SAÇ KURUTMA MAKİNESİ RAKS MİRA</v>
      </c>
      <c r="Q181" s="1">
        <f t="shared" si="12"/>
        <v>1300</v>
      </c>
      <c r="R181" t="str">
        <f t="shared" si="13"/>
        <v>TL</v>
      </c>
      <c r="S181" t="str">
        <f t="shared" si="14"/>
        <v>KEA</v>
      </c>
      <c r="T181" t="str">
        <f t="shared" si="10"/>
        <v>kea</v>
      </c>
    </row>
    <row r="182" spans="1:20" x14ac:dyDescent="0.25">
      <c r="A182" t="s">
        <v>1422</v>
      </c>
      <c r="B182">
        <v>274</v>
      </c>
      <c r="C182" t="s">
        <v>1814</v>
      </c>
      <c r="D182" t="s">
        <v>164</v>
      </c>
      <c r="E182">
        <v>650</v>
      </c>
      <c r="F182" t="s">
        <v>0</v>
      </c>
      <c r="G182" t="s">
        <v>1525</v>
      </c>
      <c r="H182" t="s">
        <v>1425</v>
      </c>
      <c r="I182" t="s">
        <v>1426</v>
      </c>
      <c r="J182" t="s">
        <v>1426</v>
      </c>
      <c r="O182">
        <v>275</v>
      </c>
      <c r="P182" t="str">
        <f t="shared" si="11"/>
        <v>SAÇ KURUTMA MAKİNESİ RAKS LORİS</v>
      </c>
      <c r="Q182" s="1">
        <f t="shared" si="12"/>
        <v>1300</v>
      </c>
      <c r="R182" t="str">
        <f t="shared" si="13"/>
        <v>TL</v>
      </c>
      <c r="S182" t="str">
        <f t="shared" si="14"/>
        <v>KEA</v>
      </c>
      <c r="T182" t="str">
        <f t="shared" si="10"/>
        <v>kea</v>
      </c>
    </row>
    <row r="183" spans="1:20" x14ac:dyDescent="0.25">
      <c r="A183" t="s">
        <v>1422</v>
      </c>
      <c r="B183">
        <v>275</v>
      </c>
      <c r="C183" t="s">
        <v>1815</v>
      </c>
      <c r="D183" t="s">
        <v>165</v>
      </c>
      <c r="E183">
        <v>650</v>
      </c>
      <c r="F183" t="s">
        <v>0</v>
      </c>
      <c r="G183" t="s">
        <v>1525</v>
      </c>
      <c r="H183" t="s">
        <v>1425</v>
      </c>
      <c r="I183" t="s">
        <v>1426</v>
      </c>
      <c r="J183" t="s">
        <v>1426</v>
      </c>
      <c r="O183">
        <v>276</v>
      </c>
      <c r="P183" t="str">
        <f t="shared" si="11"/>
        <v>SAÇ KURUTMA MAKİNESİ RAKS NORA</v>
      </c>
      <c r="Q183" s="1">
        <f t="shared" si="12"/>
        <v>1300</v>
      </c>
      <c r="R183" t="str">
        <f t="shared" si="13"/>
        <v>TL</v>
      </c>
      <c r="S183" t="str">
        <f t="shared" si="14"/>
        <v>KEA</v>
      </c>
      <c r="T183" t="str">
        <f t="shared" si="10"/>
        <v>kea</v>
      </c>
    </row>
    <row r="184" spans="1:20" x14ac:dyDescent="0.25">
      <c r="A184" t="s">
        <v>1422</v>
      </c>
      <c r="B184">
        <v>276</v>
      </c>
      <c r="C184" t="s">
        <v>1813</v>
      </c>
      <c r="D184" t="s">
        <v>166</v>
      </c>
      <c r="E184">
        <v>650</v>
      </c>
      <c r="F184" t="s">
        <v>0</v>
      </c>
      <c r="G184" t="s">
        <v>1525</v>
      </c>
      <c r="H184" t="s">
        <v>1425</v>
      </c>
      <c r="I184" t="s">
        <v>1426</v>
      </c>
      <c r="J184" t="s">
        <v>1426</v>
      </c>
      <c r="O184">
        <v>278</v>
      </c>
      <c r="P184" t="str">
        <f t="shared" si="11"/>
        <v>SÜPÜRGE RANGE BROOM PREMİUM</v>
      </c>
      <c r="Q184" s="1">
        <f t="shared" si="12"/>
        <v>8700</v>
      </c>
      <c r="R184" t="str">
        <f t="shared" si="13"/>
        <v>TL</v>
      </c>
      <c r="S184" t="str">
        <f t="shared" si="14"/>
        <v>KEA</v>
      </c>
      <c r="T184" t="str">
        <f t="shared" si="10"/>
        <v>kea</v>
      </c>
    </row>
    <row r="185" spans="1:20" x14ac:dyDescent="0.25">
      <c r="A185" t="s">
        <v>1422</v>
      </c>
      <c r="B185">
        <v>278</v>
      </c>
      <c r="C185" t="s">
        <v>1650</v>
      </c>
      <c r="D185" t="s">
        <v>167</v>
      </c>
      <c r="E185">
        <v>4350</v>
      </c>
      <c r="F185" t="s">
        <v>0</v>
      </c>
      <c r="G185" t="s">
        <v>1525</v>
      </c>
      <c r="H185" t="s">
        <v>1425</v>
      </c>
      <c r="I185" t="s">
        <v>1426</v>
      </c>
      <c r="J185" t="s">
        <v>1426</v>
      </c>
      <c r="O185">
        <v>279</v>
      </c>
      <c r="P185" t="str">
        <f t="shared" si="11"/>
        <v>SÜPÜRGE BASTON RANGE DAILYCLEANİNG</v>
      </c>
      <c r="Q185" s="1">
        <f t="shared" si="12"/>
        <v>3500</v>
      </c>
      <c r="R185" t="str">
        <f t="shared" si="13"/>
        <v>TL</v>
      </c>
      <c r="S185" t="str">
        <f t="shared" si="14"/>
        <v>KEA</v>
      </c>
      <c r="T185" t="str">
        <f t="shared" si="10"/>
        <v>kea</v>
      </c>
    </row>
    <row r="186" spans="1:20" x14ac:dyDescent="0.25">
      <c r="A186" t="s">
        <v>1422</v>
      </c>
      <c r="B186">
        <v>279</v>
      </c>
      <c r="C186" t="s">
        <v>1662</v>
      </c>
      <c r="D186" t="s">
        <v>814</v>
      </c>
      <c r="E186">
        <v>1750</v>
      </c>
      <c r="F186" t="s">
        <v>0</v>
      </c>
      <c r="G186" t="s">
        <v>1525</v>
      </c>
      <c r="H186" t="s">
        <v>1425</v>
      </c>
      <c r="I186" t="s">
        <v>1426</v>
      </c>
      <c r="J186" t="s">
        <v>1426</v>
      </c>
      <c r="O186">
        <v>280</v>
      </c>
      <c r="P186" t="str">
        <f t="shared" si="11"/>
        <v>BLENDER RANGE SB-2321 KİŞİSEL BLENDER</v>
      </c>
      <c r="Q186" s="1">
        <f t="shared" si="12"/>
        <v>4000</v>
      </c>
      <c r="R186" t="str">
        <f t="shared" si="13"/>
        <v>TL</v>
      </c>
      <c r="S186" t="str">
        <f t="shared" si="14"/>
        <v>KEA</v>
      </c>
      <c r="T186" t="str">
        <f t="shared" si="10"/>
        <v>kea</v>
      </c>
    </row>
    <row r="187" spans="1:20" x14ac:dyDescent="0.25">
      <c r="A187" t="s">
        <v>1422</v>
      </c>
      <c r="B187">
        <v>280</v>
      </c>
      <c r="C187" t="s">
        <v>2294</v>
      </c>
      <c r="D187" t="s">
        <v>821</v>
      </c>
      <c r="E187">
        <v>2000</v>
      </c>
      <c r="F187" t="s">
        <v>0</v>
      </c>
      <c r="G187" t="s">
        <v>1525</v>
      </c>
      <c r="H187" t="s">
        <v>1425</v>
      </c>
      <c r="I187" t="s">
        <v>1426</v>
      </c>
      <c r="J187" t="s">
        <v>1426</v>
      </c>
      <c r="O187">
        <v>282</v>
      </c>
      <c r="P187" t="str">
        <f t="shared" si="11"/>
        <v>SAÇ MAŞASI RANGE SD 3000</v>
      </c>
      <c r="Q187" s="1">
        <f t="shared" si="12"/>
        <v>2500</v>
      </c>
      <c r="R187" t="str">
        <f t="shared" si="13"/>
        <v>TL</v>
      </c>
      <c r="S187" t="str">
        <f t="shared" si="14"/>
        <v>KEA</v>
      </c>
      <c r="T187" t="str">
        <f t="shared" si="10"/>
        <v>kea</v>
      </c>
    </row>
    <row r="188" spans="1:20" x14ac:dyDescent="0.25">
      <c r="A188" t="s">
        <v>1422</v>
      </c>
      <c r="B188">
        <v>282</v>
      </c>
      <c r="C188" t="s">
        <v>1804</v>
      </c>
      <c r="D188" t="s">
        <v>168</v>
      </c>
      <c r="E188">
        <v>1250</v>
      </c>
      <c r="F188" t="s">
        <v>0</v>
      </c>
      <c r="G188" t="s">
        <v>1525</v>
      </c>
      <c r="H188" t="s">
        <v>1425</v>
      </c>
      <c r="I188" t="s">
        <v>1426</v>
      </c>
      <c r="J188" t="s">
        <v>1426</v>
      </c>
      <c r="O188">
        <v>283</v>
      </c>
      <c r="P188" t="str">
        <f t="shared" si="11"/>
        <v>BLENDER RANGE SİLVİNO ÇUBUK BLENDER</v>
      </c>
      <c r="Q188" s="1">
        <f t="shared" si="12"/>
        <v>2500</v>
      </c>
      <c r="R188" t="str">
        <f t="shared" si="13"/>
        <v>TL</v>
      </c>
      <c r="S188" t="str">
        <f t="shared" si="14"/>
        <v>KEA</v>
      </c>
      <c r="T188" t="str">
        <f t="shared" si="10"/>
        <v>kea</v>
      </c>
    </row>
    <row r="189" spans="1:20" x14ac:dyDescent="0.25">
      <c r="A189" t="s">
        <v>1422</v>
      </c>
      <c r="B189">
        <v>283</v>
      </c>
      <c r="C189" t="s">
        <v>2293</v>
      </c>
      <c r="D189" t="s">
        <v>822</v>
      </c>
      <c r="E189">
        <v>1250</v>
      </c>
      <c r="F189" t="s">
        <v>0</v>
      </c>
      <c r="G189" t="s">
        <v>1525</v>
      </c>
      <c r="H189" t="s">
        <v>1425</v>
      </c>
      <c r="I189" t="s">
        <v>1426</v>
      </c>
      <c r="J189" t="s">
        <v>1426</v>
      </c>
      <c r="O189">
        <v>284</v>
      </c>
      <c r="P189" t="str">
        <f t="shared" si="11"/>
        <v>SAÇ KURUTMA MAKİNESİ RANGE STYLE</v>
      </c>
      <c r="Q189" s="1">
        <f t="shared" si="12"/>
        <v>1700</v>
      </c>
      <c r="R189" t="str">
        <f t="shared" si="13"/>
        <v>TL</v>
      </c>
      <c r="S189" t="str">
        <f t="shared" si="14"/>
        <v>KEA</v>
      </c>
      <c r="T189" t="str">
        <f t="shared" si="10"/>
        <v>kea</v>
      </c>
    </row>
    <row r="190" spans="1:20" x14ac:dyDescent="0.25">
      <c r="A190" t="s">
        <v>1422</v>
      </c>
      <c r="B190">
        <v>284</v>
      </c>
      <c r="C190" t="s">
        <v>1812</v>
      </c>
      <c r="D190" t="s">
        <v>169</v>
      </c>
      <c r="E190">
        <v>850</v>
      </c>
      <c r="F190" t="s">
        <v>0</v>
      </c>
      <c r="G190" t="s">
        <v>1525</v>
      </c>
      <c r="H190" t="s">
        <v>1425</v>
      </c>
      <c r="I190" t="s">
        <v>1426</v>
      </c>
      <c r="J190" t="s">
        <v>1426</v>
      </c>
      <c r="O190">
        <v>289</v>
      </c>
      <c r="P190" t="str">
        <f t="shared" si="11"/>
        <v>SÜPÜRGE BASTON SAREX SMORTY</v>
      </c>
      <c r="Q190" s="1">
        <f t="shared" si="12"/>
        <v>3000</v>
      </c>
      <c r="R190" t="str">
        <f t="shared" si="13"/>
        <v>TL</v>
      </c>
      <c r="S190" t="str">
        <f t="shared" si="14"/>
        <v>KEA</v>
      </c>
      <c r="T190" t="str">
        <f t="shared" si="10"/>
        <v>kea</v>
      </c>
    </row>
    <row r="191" spans="1:20" x14ac:dyDescent="0.25">
      <c r="A191" t="s">
        <v>1422</v>
      </c>
      <c r="B191">
        <v>289</v>
      </c>
      <c r="C191" t="s">
        <v>1661</v>
      </c>
      <c r="D191" t="s">
        <v>815</v>
      </c>
      <c r="E191">
        <v>1500</v>
      </c>
      <c r="F191" t="s">
        <v>0</v>
      </c>
      <c r="G191" t="s">
        <v>1525</v>
      </c>
      <c r="H191" t="s">
        <v>1425</v>
      </c>
      <c r="I191" t="s">
        <v>1426</v>
      </c>
      <c r="J191" t="s">
        <v>1426</v>
      </c>
      <c r="O191">
        <v>290</v>
      </c>
      <c r="P191" t="str">
        <f t="shared" si="11"/>
        <v>KAHVE MAKİNESİ SAREX KAVRUK ÇELİK CEZVE</v>
      </c>
      <c r="Q191" s="1">
        <f t="shared" si="12"/>
        <v>1200</v>
      </c>
      <c r="R191" t="str">
        <f t="shared" si="13"/>
        <v>TL</v>
      </c>
      <c r="S191" t="str">
        <f t="shared" si="14"/>
        <v>KEA</v>
      </c>
      <c r="T191" t="str">
        <f t="shared" si="10"/>
        <v>kea</v>
      </c>
    </row>
    <row r="192" spans="1:20" x14ac:dyDescent="0.25">
      <c r="A192" t="s">
        <v>1422</v>
      </c>
      <c r="B192">
        <v>290</v>
      </c>
      <c r="C192" t="s">
        <v>2153</v>
      </c>
      <c r="D192" t="s">
        <v>818</v>
      </c>
      <c r="E192">
        <v>600</v>
      </c>
      <c r="F192" t="s">
        <v>0</v>
      </c>
      <c r="G192" t="s">
        <v>1525</v>
      </c>
      <c r="H192" t="s">
        <v>1425</v>
      </c>
      <c r="I192" t="s">
        <v>1426</v>
      </c>
      <c r="J192" t="s">
        <v>1426</v>
      </c>
      <c r="O192">
        <v>293</v>
      </c>
      <c r="P192" t="str">
        <f t="shared" si="11"/>
        <v>SAÇ KURUTMA MAKİNESİ SAREX EMİLY</v>
      </c>
      <c r="Q192" s="1">
        <f t="shared" si="12"/>
        <v>1400</v>
      </c>
      <c r="R192" t="str">
        <f t="shared" si="13"/>
        <v>TL</v>
      </c>
      <c r="S192" t="str">
        <f t="shared" si="14"/>
        <v>KEA</v>
      </c>
      <c r="T192" t="str">
        <f t="shared" si="10"/>
        <v>kea</v>
      </c>
    </row>
    <row r="193" spans="1:20" x14ac:dyDescent="0.25">
      <c r="A193" t="s">
        <v>1422</v>
      </c>
      <c r="B193">
        <v>293</v>
      </c>
      <c r="C193" t="s">
        <v>1811</v>
      </c>
      <c r="D193" t="s">
        <v>170</v>
      </c>
      <c r="E193">
        <v>700</v>
      </c>
      <c r="F193" t="s">
        <v>0</v>
      </c>
      <c r="G193" t="s">
        <v>1525</v>
      </c>
      <c r="H193" t="s">
        <v>1425</v>
      </c>
      <c r="I193" t="s">
        <v>1426</v>
      </c>
      <c r="J193" t="s">
        <v>1426</v>
      </c>
      <c r="O193">
        <v>294</v>
      </c>
      <c r="P193" t="str">
        <f t="shared" si="11"/>
        <v>SAÇ KURUTMA MAKİNESİ SAREX LİNA</v>
      </c>
      <c r="Q193" s="1">
        <f t="shared" si="12"/>
        <v>1200</v>
      </c>
      <c r="R193" t="str">
        <f t="shared" si="13"/>
        <v>TL</v>
      </c>
      <c r="S193" t="str">
        <f t="shared" si="14"/>
        <v>KEA</v>
      </c>
      <c r="T193" t="str">
        <f t="shared" si="10"/>
        <v>kea</v>
      </c>
    </row>
    <row r="194" spans="1:20" x14ac:dyDescent="0.25">
      <c r="A194" t="s">
        <v>1422</v>
      </c>
      <c r="B194">
        <v>294</v>
      </c>
      <c r="C194" t="s">
        <v>1810</v>
      </c>
      <c r="D194" t="s">
        <v>171</v>
      </c>
      <c r="E194">
        <v>600</v>
      </c>
      <c r="F194" t="s">
        <v>0</v>
      </c>
      <c r="G194" t="s">
        <v>1525</v>
      </c>
      <c r="H194" t="s">
        <v>1425</v>
      </c>
      <c r="I194" t="s">
        <v>1426</v>
      </c>
      <c r="J194" t="s">
        <v>1426</v>
      </c>
      <c r="O194">
        <v>295</v>
      </c>
      <c r="P194" t="str">
        <f t="shared" si="11"/>
        <v>PİZZA TAVASI SAREX GURME ELKTRİKLİ</v>
      </c>
      <c r="Q194" s="1">
        <f t="shared" si="12"/>
        <v>4500</v>
      </c>
      <c r="R194" t="str">
        <f t="shared" si="13"/>
        <v>TL</v>
      </c>
      <c r="S194" t="str">
        <f t="shared" si="14"/>
        <v>KEA</v>
      </c>
      <c r="T194" t="str">
        <f t="shared" si="10"/>
        <v>kea</v>
      </c>
    </row>
    <row r="195" spans="1:20" x14ac:dyDescent="0.25">
      <c r="A195" t="s">
        <v>1422</v>
      </c>
      <c r="B195">
        <v>295</v>
      </c>
      <c r="C195" t="s">
        <v>1857</v>
      </c>
      <c r="D195" t="s">
        <v>172</v>
      </c>
      <c r="E195">
        <v>2250</v>
      </c>
      <c r="F195" t="s">
        <v>0</v>
      </c>
      <c r="G195" t="s">
        <v>1525</v>
      </c>
      <c r="H195" t="s">
        <v>1425</v>
      </c>
      <c r="I195" t="s">
        <v>1426</v>
      </c>
      <c r="J195" t="s">
        <v>1426</v>
      </c>
      <c r="O195">
        <v>301</v>
      </c>
      <c r="P195" t="str">
        <f t="shared" si="11"/>
        <v>MİKSER SAREX VİSİON</v>
      </c>
      <c r="Q195" s="1">
        <f t="shared" si="12"/>
        <v>1400</v>
      </c>
      <c r="R195" t="str">
        <f t="shared" si="13"/>
        <v>TL</v>
      </c>
      <c r="S195" t="str">
        <f t="shared" si="14"/>
        <v>KEA</v>
      </c>
      <c r="T195" t="str">
        <f t="shared" ref="T195:T258" si="15">IF(S195="KEA","kea",IF(S195="MOBİLYA","mobilya",IF(S195="TÜP","tup",IF(S195="MASA-SAND-SEHPA-ZİGON","mssz",IF(S195="ENDÜSTRİYEL","endustriyel",IF(S195="YEDEK PARÇA","diger",""))))))</f>
        <v>kea</v>
      </c>
    </row>
    <row r="196" spans="1:20" x14ac:dyDescent="0.25">
      <c r="A196" t="s">
        <v>1422</v>
      </c>
      <c r="B196">
        <v>301</v>
      </c>
      <c r="C196" t="s">
        <v>1976</v>
      </c>
      <c r="D196" t="s">
        <v>173</v>
      </c>
      <c r="E196">
        <v>700</v>
      </c>
      <c r="F196" t="s">
        <v>0</v>
      </c>
      <c r="G196" t="s">
        <v>1525</v>
      </c>
      <c r="H196" t="s">
        <v>1425</v>
      </c>
      <c r="I196" t="s">
        <v>1426</v>
      </c>
      <c r="J196" t="s">
        <v>1426</v>
      </c>
      <c r="O196">
        <v>303</v>
      </c>
      <c r="P196" t="str">
        <f t="shared" ref="P196:P259" si="16">IFERROR(VLOOKUP(O196,$M:$N,2,0), VLOOKUP(O196,$B:$D,3,0))</f>
        <v>ÇEYİZ PAKETİ SEM CAKA</v>
      </c>
      <c r="Q196" s="1">
        <f t="shared" ref="Q196:Q259" si="17">VLOOKUP(O196,$B:$E,4,0)*2</f>
        <v>21000</v>
      </c>
      <c r="R196" t="str">
        <f t="shared" ref="R196:R259" si="18">VLOOKUP(O196,$B:$F,5,0)</f>
        <v>TL</v>
      </c>
      <c r="S196" t="str">
        <f t="shared" ref="S196:S259" si="19">VLOOKUP(O196,$B:$G,6,0)</f>
        <v>KEA</v>
      </c>
      <c r="T196" t="str">
        <f t="shared" si="15"/>
        <v>kea</v>
      </c>
    </row>
    <row r="197" spans="1:20" x14ac:dyDescent="0.25">
      <c r="A197" t="s">
        <v>1422</v>
      </c>
      <c r="B197">
        <v>303</v>
      </c>
      <c r="C197" t="s">
        <v>2261</v>
      </c>
      <c r="D197" t="s">
        <v>174</v>
      </c>
      <c r="E197">
        <v>10500</v>
      </c>
      <c r="F197" t="s">
        <v>0</v>
      </c>
      <c r="G197" t="s">
        <v>1525</v>
      </c>
      <c r="H197" t="s">
        <v>1425</v>
      </c>
      <c r="I197" t="s">
        <v>1426</v>
      </c>
      <c r="J197" t="s">
        <v>1426</v>
      </c>
      <c r="O197">
        <v>304</v>
      </c>
      <c r="P197" t="str">
        <f t="shared" si="16"/>
        <v>ŞOFBEN SEM ELEGANCE ELEKTRİKLİ</v>
      </c>
      <c r="Q197" s="1">
        <f t="shared" si="17"/>
        <v>5000</v>
      </c>
      <c r="R197" t="str">
        <f t="shared" si="18"/>
        <v>TL</v>
      </c>
      <c r="S197" t="str">
        <f t="shared" si="19"/>
        <v>KEA</v>
      </c>
      <c r="T197" t="str">
        <f t="shared" si="15"/>
        <v>kea</v>
      </c>
    </row>
    <row r="198" spans="1:20" x14ac:dyDescent="0.25">
      <c r="A198" t="s">
        <v>1422</v>
      </c>
      <c r="B198">
        <v>304</v>
      </c>
      <c r="C198" t="s">
        <v>1632</v>
      </c>
      <c r="D198" t="s">
        <v>175</v>
      </c>
      <c r="E198">
        <v>2500</v>
      </c>
      <c r="F198" t="s">
        <v>0</v>
      </c>
      <c r="G198" t="s">
        <v>1525</v>
      </c>
      <c r="H198" t="s">
        <v>1425</v>
      </c>
      <c r="I198" t="s">
        <v>1426</v>
      </c>
      <c r="J198" t="s">
        <v>1426</v>
      </c>
      <c r="O198">
        <v>305</v>
      </c>
      <c r="P198" t="str">
        <f t="shared" si="16"/>
        <v>FIRIN SİMFER 4502 KÖŞELİ</v>
      </c>
      <c r="Q198" s="1">
        <f t="shared" si="17"/>
        <v>7900</v>
      </c>
      <c r="R198" t="str">
        <f t="shared" si="18"/>
        <v>TL</v>
      </c>
      <c r="S198" t="str">
        <f t="shared" si="19"/>
        <v>KEA</v>
      </c>
      <c r="T198" t="str">
        <f t="shared" si="15"/>
        <v>kea</v>
      </c>
    </row>
    <row r="199" spans="1:20" x14ac:dyDescent="0.25">
      <c r="A199" t="s">
        <v>1422</v>
      </c>
      <c r="B199">
        <v>305</v>
      </c>
      <c r="C199" t="s">
        <v>2183</v>
      </c>
      <c r="D199" t="s">
        <v>176</v>
      </c>
      <c r="E199">
        <v>3950</v>
      </c>
      <c r="F199" t="s">
        <v>0</v>
      </c>
      <c r="G199" t="s">
        <v>1525</v>
      </c>
      <c r="H199" t="s">
        <v>1425</v>
      </c>
      <c r="I199" t="s">
        <v>1426</v>
      </c>
      <c r="J199" t="s">
        <v>1426</v>
      </c>
      <c r="O199">
        <v>306</v>
      </c>
      <c r="P199" t="str">
        <f t="shared" si="16"/>
        <v>ASKI APARATI SKYTECH  32''</v>
      </c>
      <c r="Q199" s="1">
        <f t="shared" si="17"/>
        <v>500</v>
      </c>
      <c r="R199" t="str">
        <f t="shared" si="18"/>
        <v>TL</v>
      </c>
      <c r="S199" t="str">
        <f t="shared" si="19"/>
        <v>KEA</v>
      </c>
      <c r="T199" t="str">
        <f t="shared" si="15"/>
        <v>kea</v>
      </c>
    </row>
    <row r="200" spans="1:20" x14ac:dyDescent="0.25">
      <c r="A200" t="s">
        <v>1422</v>
      </c>
      <c r="B200">
        <v>306</v>
      </c>
      <c r="C200" t="s">
        <v>2314</v>
      </c>
      <c r="D200" t="s">
        <v>177</v>
      </c>
      <c r="E200">
        <v>250</v>
      </c>
      <c r="F200" t="s">
        <v>0</v>
      </c>
      <c r="G200" t="s">
        <v>1525</v>
      </c>
      <c r="H200" t="s">
        <v>1425</v>
      </c>
      <c r="I200" t="s">
        <v>1426</v>
      </c>
      <c r="J200" t="s">
        <v>1426</v>
      </c>
      <c r="O200">
        <v>313</v>
      </c>
      <c r="P200" t="str">
        <f t="shared" si="16"/>
        <v>ÜTÜ STİLEVS JETTMAX NANO SERAMİK LİLA</v>
      </c>
      <c r="Q200" s="1">
        <f t="shared" si="17"/>
        <v>5200</v>
      </c>
      <c r="R200" t="str">
        <f t="shared" si="18"/>
        <v>TL</v>
      </c>
      <c r="S200" t="str">
        <f t="shared" si="19"/>
        <v>KEA</v>
      </c>
      <c r="T200" t="str">
        <f t="shared" si="15"/>
        <v>kea</v>
      </c>
    </row>
    <row r="201" spans="1:20" x14ac:dyDescent="0.25">
      <c r="A201" t="s">
        <v>1422</v>
      </c>
      <c r="B201">
        <v>313</v>
      </c>
      <c r="C201" t="s">
        <v>1564</v>
      </c>
      <c r="D201" t="s">
        <v>178</v>
      </c>
      <c r="E201">
        <v>2600</v>
      </c>
      <c r="F201" t="s">
        <v>0</v>
      </c>
      <c r="G201" t="s">
        <v>1525</v>
      </c>
      <c r="H201" t="s">
        <v>1425</v>
      </c>
      <c r="I201" t="s">
        <v>1426</v>
      </c>
      <c r="J201" t="s">
        <v>1426</v>
      </c>
      <c r="O201">
        <v>314</v>
      </c>
      <c r="P201" t="str">
        <f t="shared" si="16"/>
        <v>BLENDER SET STİLEVS LİMİTLESS</v>
      </c>
      <c r="Q201" s="1">
        <f t="shared" si="17"/>
        <v>6200</v>
      </c>
      <c r="R201" t="str">
        <f t="shared" si="18"/>
        <v>TL</v>
      </c>
      <c r="S201" t="str">
        <f t="shared" si="19"/>
        <v>KEA</v>
      </c>
      <c r="T201" t="str">
        <f t="shared" si="15"/>
        <v>kea</v>
      </c>
    </row>
    <row r="202" spans="1:20" x14ac:dyDescent="0.25">
      <c r="A202" t="s">
        <v>1422</v>
      </c>
      <c r="B202">
        <v>314</v>
      </c>
      <c r="C202" t="s">
        <v>2287</v>
      </c>
      <c r="D202" t="s">
        <v>179</v>
      </c>
      <c r="E202">
        <v>3100</v>
      </c>
      <c r="F202" t="s">
        <v>0</v>
      </c>
      <c r="G202" t="s">
        <v>1525</v>
      </c>
      <c r="H202" t="s">
        <v>1425</v>
      </c>
      <c r="I202" t="s">
        <v>1426</v>
      </c>
      <c r="J202" t="s">
        <v>1426</v>
      </c>
      <c r="O202">
        <v>316</v>
      </c>
      <c r="P202" t="str">
        <f t="shared" si="16"/>
        <v>SAÇ KURUTMA MAKİNESİ STİLEVS FÖNMATİK FN978</v>
      </c>
      <c r="Q202" s="1">
        <f t="shared" si="17"/>
        <v>2300</v>
      </c>
      <c r="R202" t="str">
        <f t="shared" si="18"/>
        <v>TL</v>
      </c>
      <c r="S202" t="str">
        <f t="shared" si="19"/>
        <v>KEA</v>
      </c>
      <c r="T202" t="str">
        <f t="shared" si="15"/>
        <v>kea</v>
      </c>
    </row>
    <row r="203" spans="1:20" x14ac:dyDescent="0.25">
      <c r="A203" t="s">
        <v>1422</v>
      </c>
      <c r="B203">
        <v>316</v>
      </c>
      <c r="C203" t="s">
        <v>1809</v>
      </c>
      <c r="D203" t="s">
        <v>180</v>
      </c>
      <c r="E203">
        <v>1150</v>
      </c>
      <c r="F203" t="s">
        <v>0</v>
      </c>
      <c r="G203" t="s">
        <v>1525</v>
      </c>
      <c r="H203" t="s">
        <v>1425</v>
      </c>
      <c r="I203" t="s">
        <v>1426</v>
      </c>
      <c r="J203" t="s">
        <v>1426</v>
      </c>
      <c r="O203">
        <v>320</v>
      </c>
      <c r="P203" t="str">
        <f t="shared" si="16"/>
        <v>TOST MAKİNESİ STİLEVS TOST X</v>
      </c>
      <c r="Q203" s="1">
        <f t="shared" si="17"/>
        <v>6000</v>
      </c>
      <c r="R203" t="str">
        <f t="shared" si="18"/>
        <v>TL</v>
      </c>
      <c r="S203" t="str">
        <f t="shared" si="19"/>
        <v>KEA</v>
      </c>
      <c r="T203" t="str">
        <f t="shared" si="15"/>
        <v>kea</v>
      </c>
    </row>
    <row r="204" spans="1:20" x14ac:dyDescent="0.25">
      <c r="A204" t="s">
        <v>1422</v>
      </c>
      <c r="B204">
        <v>320</v>
      </c>
      <c r="C204" t="s">
        <v>1603</v>
      </c>
      <c r="D204" t="s">
        <v>181</v>
      </c>
      <c r="E204">
        <v>3000</v>
      </c>
      <c r="F204" t="s">
        <v>0</v>
      </c>
      <c r="G204" t="s">
        <v>1525</v>
      </c>
      <c r="H204" t="s">
        <v>1425</v>
      </c>
      <c r="I204" t="s">
        <v>1426</v>
      </c>
      <c r="J204" t="s">
        <v>1426</v>
      </c>
      <c r="O204">
        <v>322</v>
      </c>
      <c r="P204" t="str">
        <f t="shared" si="16"/>
        <v>YAYIK ŞAHBAZ 10 LT YUVARLAK</v>
      </c>
      <c r="Q204" s="1">
        <f t="shared" si="17"/>
        <v>8200</v>
      </c>
      <c r="R204" t="str">
        <f t="shared" si="18"/>
        <v>TL</v>
      </c>
      <c r="S204" t="str">
        <f t="shared" si="19"/>
        <v>KEA</v>
      </c>
      <c r="T204" t="str">
        <f t="shared" si="15"/>
        <v>kea</v>
      </c>
    </row>
    <row r="205" spans="1:20" x14ac:dyDescent="0.25">
      <c r="A205" t="s">
        <v>1422</v>
      </c>
      <c r="B205">
        <v>322</v>
      </c>
      <c r="C205" t="s">
        <v>1532</v>
      </c>
      <c r="D205" t="s">
        <v>182</v>
      </c>
      <c r="E205">
        <v>4100</v>
      </c>
      <c r="F205" t="s">
        <v>0</v>
      </c>
      <c r="G205" t="s">
        <v>1525</v>
      </c>
      <c r="H205" t="s">
        <v>1425</v>
      </c>
      <c r="I205" t="s">
        <v>1426</v>
      </c>
      <c r="J205" t="s">
        <v>1426</v>
      </c>
      <c r="O205">
        <v>323</v>
      </c>
      <c r="P205" t="str">
        <f t="shared" si="16"/>
        <v>YAYIK ŞAHBAZ 10 LT KAHVALTIM (Musluklu)</v>
      </c>
      <c r="Q205" s="1">
        <f t="shared" si="17"/>
        <v>8500</v>
      </c>
      <c r="R205" t="str">
        <f t="shared" si="18"/>
        <v>TL</v>
      </c>
      <c r="S205" t="str">
        <f t="shared" si="19"/>
        <v>KEA</v>
      </c>
      <c r="T205" t="str">
        <f t="shared" si="15"/>
        <v>kea</v>
      </c>
    </row>
    <row r="206" spans="1:20" x14ac:dyDescent="0.25">
      <c r="A206" t="s">
        <v>1422</v>
      </c>
      <c r="B206">
        <v>323</v>
      </c>
      <c r="C206" t="s">
        <v>1533</v>
      </c>
      <c r="D206" t="s">
        <v>183</v>
      </c>
      <c r="E206">
        <v>4250</v>
      </c>
      <c r="F206" t="s">
        <v>0</v>
      </c>
      <c r="G206" t="s">
        <v>1525</v>
      </c>
      <c r="H206" t="s">
        <v>1425</v>
      </c>
      <c r="I206" t="s">
        <v>1426</v>
      </c>
      <c r="J206" t="s">
        <v>1426</v>
      </c>
      <c r="O206">
        <v>324</v>
      </c>
      <c r="P206" t="str">
        <f t="shared" si="16"/>
        <v>YAYIK ŞAHBAZ 20 LT YAĞMATİK</v>
      </c>
      <c r="Q206" s="1">
        <f t="shared" si="17"/>
        <v>8700</v>
      </c>
      <c r="R206" t="str">
        <f t="shared" si="18"/>
        <v>TL</v>
      </c>
      <c r="S206" t="str">
        <f t="shared" si="19"/>
        <v>KEA</v>
      </c>
      <c r="T206" t="str">
        <f t="shared" si="15"/>
        <v>kea</v>
      </c>
    </row>
    <row r="207" spans="1:20" x14ac:dyDescent="0.25">
      <c r="A207" t="s">
        <v>1422</v>
      </c>
      <c r="B207">
        <v>324</v>
      </c>
      <c r="C207" t="s">
        <v>1531</v>
      </c>
      <c r="D207" t="s">
        <v>184</v>
      </c>
      <c r="E207">
        <v>4350</v>
      </c>
      <c r="F207" t="s">
        <v>0</v>
      </c>
      <c r="G207" t="s">
        <v>1525</v>
      </c>
      <c r="H207" t="s">
        <v>1425</v>
      </c>
      <c r="I207" t="s">
        <v>1426</v>
      </c>
      <c r="J207" t="s">
        <v>1426</v>
      </c>
      <c r="O207">
        <v>325</v>
      </c>
      <c r="P207" t="str">
        <f t="shared" si="16"/>
        <v>YAYIK ŞAHBAZ 35 LT YUVARLAK</v>
      </c>
      <c r="Q207" s="1">
        <f t="shared" si="17"/>
        <v>8900</v>
      </c>
      <c r="R207" t="str">
        <f t="shared" si="18"/>
        <v>TL</v>
      </c>
      <c r="S207" t="str">
        <f t="shared" si="19"/>
        <v>KEA</v>
      </c>
      <c r="T207" t="str">
        <f t="shared" si="15"/>
        <v>kea</v>
      </c>
    </row>
    <row r="208" spans="1:20" x14ac:dyDescent="0.25">
      <c r="A208" t="s">
        <v>1422</v>
      </c>
      <c r="B208">
        <v>325</v>
      </c>
      <c r="C208" t="s">
        <v>1530</v>
      </c>
      <c r="D208" t="s">
        <v>185</v>
      </c>
      <c r="E208">
        <v>4450</v>
      </c>
      <c r="F208" t="s">
        <v>0</v>
      </c>
      <c r="G208" t="s">
        <v>1525</v>
      </c>
      <c r="H208" t="s">
        <v>1425</v>
      </c>
      <c r="I208" t="s">
        <v>1426</v>
      </c>
      <c r="J208" t="s">
        <v>1426</v>
      </c>
      <c r="O208">
        <v>326</v>
      </c>
      <c r="P208" t="str">
        <f t="shared" si="16"/>
        <v>YAYIK ŞAHBAZ 40 LT YUVARLAK</v>
      </c>
      <c r="Q208" s="1">
        <f t="shared" si="17"/>
        <v>9200</v>
      </c>
      <c r="R208" t="str">
        <f t="shared" si="18"/>
        <v>TL</v>
      </c>
      <c r="S208" t="str">
        <f t="shared" si="19"/>
        <v>KEA</v>
      </c>
      <c r="T208" t="str">
        <f t="shared" si="15"/>
        <v>kea</v>
      </c>
    </row>
    <row r="209" spans="1:20" x14ac:dyDescent="0.25">
      <c r="A209" t="s">
        <v>1422</v>
      </c>
      <c r="B209">
        <v>326</v>
      </c>
      <c r="C209" t="s">
        <v>1529</v>
      </c>
      <c r="D209" t="s">
        <v>186</v>
      </c>
      <c r="E209">
        <v>4600</v>
      </c>
      <c r="F209" t="s">
        <v>0</v>
      </c>
      <c r="G209" t="s">
        <v>1525</v>
      </c>
      <c r="H209" t="s">
        <v>1425</v>
      </c>
      <c r="I209" t="s">
        <v>1426</v>
      </c>
      <c r="J209" t="s">
        <v>1426</v>
      </c>
      <c r="O209">
        <v>327</v>
      </c>
      <c r="P209" t="str">
        <f t="shared" si="16"/>
        <v>YAYIK ŞAHBAZ 50 LT YUVARLAK</v>
      </c>
      <c r="Q209" s="1">
        <f t="shared" si="17"/>
        <v>9450</v>
      </c>
      <c r="R209" t="str">
        <f t="shared" si="18"/>
        <v>TL</v>
      </c>
      <c r="S209" t="str">
        <f t="shared" si="19"/>
        <v>KEA</v>
      </c>
      <c r="T209" t="str">
        <f t="shared" si="15"/>
        <v>kea</v>
      </c>
    </row>
    <row r="210" spans="1:20" x14ac:dyDescent="0.25">
      <c r="A210" t="s">
        <v>1422</v>
      </c>
      <c r="B210">
        <v>327</v>
      </c>
      <c r="C210" t="s">
        <v>1528</v>
      </c>
      <c r="D210" t="s">
        <v>187</v>
      </c>
      <c r="E210">
        <v>4725</v>
      </c>
      <c r="F210" t="s">
        <v>0</v>
      </c>
      <c r="G210" t="s">
        <v>1525</v>
      </c>
      <c r="H210" t="s">
        <v>1425</v>
      </c>
      <c r="I210" t="s">
        <v>1426</v>
      </c>
      <c r="J210" t="s">
        <v>1426</v>
      </c>
      <c r="O210">
        <v>329</v>
      </c>
      <c r="P210" t="str">
        <f t="shared" si="16"/>
        <v>YAYIK ŞAHBAZ 60 LT YUVARLAK</v>
      </c>
      <c r="Q210" s="1">
        <f t="shared" si="17"/>
        <v>9900</v>
      </c>
      <c r="R210" t="str">
        <f t="shared" si="18"/>
        <v>TL</v>
      </c>
      <c r="S210" t="str">
        <f t="shared" si="19"/>
        <v>KEA</v>
      </c>
      <c r="T210" t="str">
        <f t="shared" si="15"/>
        <v>kea</v>
      </c>
    </row>
    <row r="211" spans="1:20" x14ac:dyDescent="0.25">
      <c r="A211" t="s">
        <v>1422</v>
      </c>
      <c r="B211">
        <v>329</v>
      </c>
      <c r="C211" t="s">
        <v>1527</v>
      </c>
      <c r="D211" t="s">
        <v>188</v>
      </c>
      <c r="E211">
        <v>4950</v>
      </c>
      <c r="F211" t="s">
        <v>0</v>
      </c>
      <c r="G211" t="s">
        <v>1525</v>
      </c>
      <c r="H211" t="s">
        <v>1425</v>
      </c>
      <c r="I211" t="s">
        <v>1426</v>
      </c>
      <c r="J211" t="s">
        <v>1426</v>
      </c>
      <c r="O211">
        <v>330</v>
      </c>
      <c r="P211" t="str">
        <f t="shared" si="16"/>
        <v>FIRIN ŞAMDAN 1007 BÜYÜK TERMOSTATLI CAMLI YUVARLAK</v>
      </c>
      <c r="Q211" s="1">
        <f t="shared" si="17"/>
        <v>5000</v>
      </c>
      <c r="R211" t="str">
        <f t="shared" si="18"/>
        <v>TL</v>
      </c>
      <c r="S211" t="str">
        <f t="shared" si="19"/>
        <v>KEA</v>
      </c>
      <c r="T211" t="str">
        <f t="shared" si="15"/>
        <v>kea</v>
      </c>
    </row>
    <row r="212" spans="1:20" x14ac:dyDescent="0.25">
      <c r="A212" t="s">
        <v>1422</v>
      </c>
      <c r="B212">
        <v>330</v>
      </c>
      <c r="C212" t="s">
        <v>2182</v>
      </c>
      <c r="D212" t="s">
        <v>189</v>
      </c>
      <c r="E212">
        <v>2500</v>
      </c>
      <c r="F212" t="s">
        <v>0</v>
      </c>
      <c r="G212" t="s">
        <v>1525</v>
      </c>
      <c r="H212" t="s">
        <v>1425</v>
      </c>
      <c r="I212" t="s">
        <v>1426</v>
      </c>
      <c r="J212" t="s">
        <v>1426</v>
      </c>
      <c r="O212">
        <v>331</v>
      </c>
      <c r="P212" t="str">
        <f t="shared" si="16"/>
        <v>FIRIN ŞAMDAN 2003 KÖŞELİ</v>
      </c>
      <c r="Q212" s="1">
        <f t="shared" si="17"/>
        <v>5700</v>
      </c>
      <c r="R212" t="str">
        <f t="shared" si="18"/>
        <v>TL</v>
      </c>
      <c r="S212" t="str">
        <f t="shared" si="19"/>
        <v>KEA</v>
      </c>
      <c r="T212" t="str">
        <f t="shared" si="15"/>
        <v>kea</v>
      </c>
    </row>
    <row r="213" spans="1:20" x14ac:dyDescent="0.25">
      <c r="A213" t="s">
        <v>1422</v>
      </c>
      <c r="B213">
        <v>331</v>
      </c>
      <c r="C213" t="s">
        <v>2181</v>
      </c>
      <c r="D213" t="s">
        <v>190</v>
      </c>
      <c r="E213">
        <v>2850</v>
      </c>
      <c r="F213" t="s">
        <v>0</v>
      </c>
      <c r="G213" t="s">
        <v>1525</v>
      </c>
      <c r="H213" t="s">
        <v>1425</v>
      </c>
      <c r="I213" t="s">
        <v>1426</v>
      </c>
      <c r="J213" t="s">
        <v>1426</v>
      </c>
      <c r="O213">
        <v>332</v>
      </c>
      <c r="P213" t="str">
        <f t="shared" si="16"/>
        <v>FIRIN ŞAMDAN 2005 KÖŞELİ TURBOLU</v>
      </c>
      <c r="Q213" s="1">
        <f t="shared" si="17"/>
        <v>6500</v>
      </c>
      <c r="R213" t="str">
        <f t="shared" si="18"/>
        <v>TL</v>
      </c>
      <c r="S213" t="str">
        <f t="shared" si="19"/>
        <v>KEA</v>
      </c>
      <c r="T213" t="str">
        <f t="shared" si="15"/>
        <v>kea</v>
      </c>
    </row>
    <row r="214" spans="1:20" x14ac:dyDescent="0.25">
      <c r="A214" t="s">
        <v>1422</v>
      </c>
      <c r="B214">
        <v>332</v>
      </c>
      <c r="C214" t="s">
        <v>2180</v>
      </c>
      <c r="D214" t="s">
        <v>191</v>
      </c>
      <c r="E214">
        <v>3250</v>
      </c>
      <c r="F214" t="s">
        <v>0</v>
      </c>
      <c r="G214" t="s">
        <v>1525</v>
      </c>
      <c r="H214" t="s">
        <v>1425</v>
      </c>
      <c r="I214" t="s">
        <v>1426</v>
      </c>
      <c r="J214" t="s">
        <v>1426</v>
      </c>
      <c r="O214">
        <v>333</v>
      </c>
      <c r="P214" t="str">
        <f t="shared" si="16"/>
        <v>FIRIN ŞAMDAN 2023 70 LT KÖŞELİ</v>
      </c>
      <c r="Q214" s="1">
        <f t="shared" si="17"/>
        <v>8700</v>
      </c>
      <c r="R214" t="str">
        <f t="shared" si="18"/>
        <v>TL</v>
      </c>
      <c r="S214" t="str">
        <f t="shared" si="19"/>
        <v>KEA</v>
      </c>
      <c r="T214" t="str">
        <f t="shared" si="15"/>
        <v>kea</v>
      </c>
    </row>
    <row r="215" spans="1:20" x14ac:dyDescent="0.25">
      <c r="A215" t="s">
        <v>1422</v>
      </c>
      <c r="B215">
        <v>333</v>
      </c>
      <c r="C215" t="s">
        <v>2179</v>
      </c>
      <c r="D215" t="s">
        <v>192</v>
      </c>
      <c r="E215">
        <v>4350</v>
      </c>
      <c r="F215" t="s">
        <v>0</v>
      </c>
      <c r="G215" t="s">
        <v>1525</v>
      </c>
      <c r="H215" t="s">
        <v>1425</v>
      </c>
      <c r="I215" t="s">
        <v>1426</v>
      </c>
      <c r="J215" t="s">
        <v>1426</v>
      </c>
      <c r="O215">
        <v>334</v>
      </c>
      <c r="P215" t="str">
        <f t="shared" si="16"/>
        <v>FIRIN ŞAMDAN 2033 (ÇİFT CAMLI) 60 LT KÖŞELİ</v>
      </c>
      <c r="Q215" s="1">
        <f t="shared" si="17"/>
        <v>7700</v>
      </c>
      <c r="R215" t="str">
        <f t="shared" si="18"/>
        <v>TL</v>
      </c>
      <c r="S215" t="str">
        <f t="shared" si="19"/>
        <v>KEA</v>
      </c>
      <c r="T215" t="str">
        <f t="shared" si="15"/>
        <v>kea</v>
      </c>
    </row>
    <row r="216" spans="1:20" x14ac:dyDescent="0.25">
      <c r="A216" t="s">
        <v>1422</v>
      </c>
      <c r="B216">
        <v>334</v>
      </c>
      <c r="C216" t="s">
        <v>2178</v>
      </c>
      <c r="D216" t="s">
        <v>193</v>
      </c>
      <c r="E216">
        <v>3850</v>
      </c>
      <c r="F216" t="s">
        <v>0</v>
      </c>
      <c r="G216" t="s">
        <v>1525</v>
      </c>
      <c r="H216" t="s">
        <v>1425</v>
      </c>
      <c r="I216" t="s">
        <v>1426</v>
      </c>
      <c r="J216" t="s">
        <v>1426</v>
      </c>
      <c r="O216">
        <v>335</v>
      </c>
      <c r="P216" t="str">
        <f t="shared" si="16"/>
        <v>UFO ŞAMDAN 4001 (3000 W)</v>
      </c>
      <c r="Q216" s="1">
        <f t="shared" si="17"/>
        <v>2700</v>
      </c>
      <c r="R216" t="str">
        <f t="shared" si="18"/>
        <v>TL</v>
      </c>
      <c r="S216" t="str">
        <f t="shared" si="19"/>
        <v>KEA</v>
      </c>
      <c r="T216" t="str">
        <f t="shared" si="15"/>
        <v>kea</v>
      </c>
    </row>
    <row r="217" spans="1:20" x14ac:dyDescent="0.25">
      <c r="A217" t="s">
        <v>1422</v>
      </c>
      <c r="B217">
        <v>335</v>
      </c>
      <c r="C217" t="s">
        <v>1583</v>
      </c>
      <c r="D217" t="s">
        <v>194</v>
      </c>
      <c r="E217">
        <v>1350</v>
      </c>
      <c r="F217" t="s">
        <v>0</v>
      </c>
      <c r="G217" t="s">
        <v>1525</v>
      </c>
      <c r="H217" t="s">
        <v>1425</v>
      </c>
      <c r="I217" t="s">
        <v>1426</v>
      </c>
      <c r="J217" t="s">
        <v>1426</v>
      </c>
      <c r="O217">
        <v>336</v>
      </c>
      <c r="P217" t="str">
        <f t="shared" si="16"/>
        <v>QUARTZ SOBA ŞAMDAN 3001-3002 (2+1) 1650W</v>
      </c>
      <c r="Q217" s="1">
        <f t="shared" si="17"/>
        <v>0</v>
      </c>
      <c r="R217" t="str">
        <f t="shared" si="18"/>
        <v>TL</v>
      </c>
      <c r="S217" t="str">
        <f t="shared" si="19"/>
        <v>KEA</v>
      </c>
      <c r="T217" t="str">
        <f t="shared" si="15"/>
        <v>kea</v>
      </c>
    </row>
    <row r="218" spans="1:20" x14ac:dyDescent="0.25">
      <c r="A218" t="s">
        <v>1422</v>
      </c>
      <c r="B218">
        <v>336</v>
      </c>
      <c r="C218" t="s">
        <v>1847</v>
      </c>
      <c r="D218" t="s">
        <v>195</v>
      </c>
      <c r="E218">
        <v>0</v>
      </c>
      <c r="F218" t="s">
        <v>0</v>
      </c>
      <c r="G218" t="s">
        <v>1525</v>
      </c>
      <c r="H218" t="s">
        <v>1425</v>
      </c>
      <c r="I218" t="s">
        <v>1426</v>
      </c>
      <c r="J218" t="s">
        <v>1426</v>
      </c>
      <c r="O218">
        <v>337</v>
      </c>
      <c r="P218" t="str">
        <f t="shared" si="16"/>
        <v xml:space="preserve">QUARTZ SOBA ŞAMDAN 3003 SLİM İNFRARED </v>
      </c>
      <c r="Q218" s="1">
        <f t="shared" si="17"/>
        <v>3500</v>
      </c>
      <c r="R218" t="str">
        <f t="shared" si="18"/>
        <v>TL</v>
      </c>
      <c r="S218" t="str">
        <f t="shared" si="19"/>
        <v>KEA</v>
      </c>
      <c r="T218" t="str">
        <f t="shared" si="15"/>
        <v>kea</v>
      </c>
    </row>
    <row r="219" spans="1:20" x14ac:dyDescent="0.25">
      <c r="A219" t="s">
        <v>1422</v>
      </c>
      <c r="B219">
        <v>337</v>
      </c>
      <c r="C219" t="s">
        <v>1845</v>
      </c>
      <c r="D219" t="s">
        <v>196</v>
      </c>
      <c r="E219">
        <v>1750</v>
      </c>
      <c r="F219" t="s">
        <v>0</v>
      </c>
      <c r="G219" t="s">
        <v>1525</v>
      </c>
      <c r="H219" t="s">
        <v>1425</v>
      </c>
      <c r="I219" t="s">
        <v>1426</v>
      </c>
      <c r="J219" t="s">
        <v>1426</v>
      </c>
      <c r="O219">
        <v>338</v>
      </c>
      <c r="P219" t="str">
        <f t="shared" si="16"/>
        <v>QUARTZ SOBA ŞAMDAN 3003 SLİM</v>
      </c>
      <c r="Q219" s="1">
        <f t="shared" si="17"/>
        <v>3300</v>
      </c>
      <c r="R219" t="str">
        <f t="shared" si="18"/>
        <v>TL</v>
      </c>
      <c r="S219" t="str">
        <f t="shared" si="19"/>
        <v>KEA</v>
      </c>
      <c r="T219" t="str">
        <f t="shared" si="15"/>
        <v>kea</v>
      </c>
    </row>
    <row r="220" spans="1:20" x14ac:dyDescent="0.25">
      <c r="A220" t="s">
        <v>1422</v>
      </c>
      <c r="B220">
        <v>338</v>
      </c>
      <c r="C220" t="s">
        <v>1846</v>
      </c>
      <c r="D220" t="s">
        <v>197</v>
      </c>
      <c r="E220">
        <v>1650</v>
      </c>
      <c r="F220" t="s">
        <v>0</v>
      </c>
      <c r="G220" t="s">
        <v>1525</v>
      </c>
      <c r="H220" t="s">
        <v>1425</v>
      </c>
      <c r="I220" t="s">
        <v>1426</v>
      </c>
      <c r="J220" t="s">
        <v>1426</v>
      </c>
      <c r="O220">
        <v>339</v>
      </c>
      <c r="P220" t="str">
        <f t="shared" si="16"/>
        <v>QUARTZ SOBA ŞAMDAN 3004</v>
      </c>
      <c r="Q220" s="1">
        <f t="shared" si="17"/>
        <v>3300</v>
      </c>
      <c r="R220" t="str">
        <f t="shared" si="18"/>
        <v>TL</v>
      </c>
      <c r="S220" t="str">
        <f t="shared" si="19"/>
        <v>KEA</v>
      </c>
      <c r="T220" t="str">
        <f t="shared" si="15"/>
        <v>kea</v>
      </c>
    </row>
    <row r="221" spans="1:20" x14ac:dyDescent="0.25">
      <c r="A221" t="s">
        <v>1422</v>
      </c>
      <c r="B221">
        <v>339</v>
      </c>
      <c r="C221" t="s">
        <v>1844</v>
      </c>
      <c r="D221" t="s">
        <v>198</v>
      </c>
      <c r="E221">
        <v>1650</v>
      </c>
      <c r="F221" t="s">
        <v>0</v>
      </c>
      <c r="G221" t="s">
        <v>1525</v>
      </c>
      <c r="H221" t="s">
        <v>1425</v>
      </c>
      <c r="I221" t="s">
        <v>1426</v>
      </c>
      <c r="J221" t="s">
        <v>1426</v>
      </c>
      <c r="O221">
        <v>340</v>
      </c>
      <c r="P221" t="str">
        <f t="shared" si="16"/>
        <v>QUARTZ SOBA ŞAMDAN 3005 QUARTZ</v>
      </c>
      <c r="Q221" s="1">
        <f t="shared" si="17"/>
        <v>3300</v>
      </c>
      <c r="R221" t="str">
        <f t="shared" si="18"/>
        <v>TL</v>
      </c>
      <c r="S221" t="str">
        <f t="shared" si="19"/>
        <v>KEA</v>
      </c>
      <c r="T221" t="str">
        <f t="shared" si="15"/>
        <v>kea</v>
      </c>
    </row>
    <row r="222" spans="1:20" x14ac:dyDescent="0.25">
      <c r="A222" t="s">
        <v>1422</v>
      </c>
      <c r="B222">
        <v>340</v>
      </c>
      <c r="C222" t="s">
        <v>1842</v>
      </c>
      <c r="D222" t="s">
        <v>199</v>
      </c>
      <c r="E222">
        <v>1650</v>
      </c>
      <c r="F222" t="s">
        <v>0</v>
      </c>
      <c r="G222" t="s">
        <v>1525</v>
      </c>
      <c r="H222" t="s">
        <v>1425</v>
      </c>
      <c r="I222" t="s">
        <v>1426</v>
      </c>
      <c r="J222" t="s">
        <v>1426</v>
      </c>
      <c r="O222">
        <v>341</v>
      </c>
      <c r="P222" t="str">
        <f t="shared" si="16"/>
        <v>QUARTZ SOBA ŞAMDAN 3009 SOBA</v>
      </c>
      <c r="Q222" s="1">
        <f t="shared" si="17"/>
        <v>0</v>
      </c>
      <c r="R222" t="str">
        <f t="shared" si="18"/>
        <v>TL</v>
      </c>
      <c r="S222" t="str">
        <f t="shared" si="19"/>
        <v>KEA</v>
      </c>
      <c r="T222" t="str">
        <f t="shared" si="15"/>
        <v>kea</v>
      </c>
    </row>
    <row r="223" spans="1:20" x14ac:dyDescent="0.25">
      <c r="A223" t="s">
        <v>1422</v>
      </c>
      <c r="B223">
        <v>341</v>
      </c>
      <c r="C223" t="s">
        <v>1841</v>
      </c>
      <c r="D223" t="s">
        <v>200</v>
      </c>
      <c r="E223">
        <v>0</v>
      </c>
      <c r="F223" t="s">
        <v>0</v>
      </c>
      <c r="G223" t="s">
        <v>1525</v>
      </c>
      <c r="H223" t="s">
        <v>1425</v>
      </c>
      <c r="I223" t="s">
        <v>1426</v>
      </c>
      <c r="J223" t="s">
        <v>1426</v>
      </c>
      <c r="O223">
        <v>342</v>
      </c>
      <c r="P223" t="str">
        <f t="shared" si="16"/>
        <v>UFO DİKEY ŞAMDAN 4005 (2200W)</v>
      </c>
      <c r="Q223" s="1">
        <f t="shared" si="17"/>
        <v>0</v>
      </c>
      <c r="R223" t="str">
        <f t="shared" si="18"/>
        <v>TL</v>
      </c>
      <c r="S223" t="str">
        <f t="shared" si="19"/>
        <v>KEA</v>
      </c>
      <c r="T223" t="str">
        <f t="shared" si="15"/>
        <v>kea</v>
      </c>
    </row>
    <row r="224" spans="1:20" x14ac:dyDescent="0.25">
      <c r="A224" t="s">
        <v>1422</v>
      </c>
      <c r="B224">
        <v>342</v>
      </c>
      <c r="C224" t="s">
        <v>1590</v>
      </c>
      <c r="D224" t="s">
        <v>201</v>
      </c>
      <c r="E224">
        <v>0</v>
      </c>
      <c r="F224" t="s">
        <v>0</v>
      </c>
      <c r="G224" t="s">
        <v>1525</v>
      </c>
      <c r="H224" t="s">
        <v>1425</v>
      </c>
      <c r="I224" t="s">
        <v>1426</v>
      </c>
      <c r="J224" t="s">
        <v>1426</v>
      </c>
      <c r="O224">
        <v>343</v>
      </c>
      <c r="P224" t="str">
        <f t="shared" si="16"/>
        <v>FIRIN ŞAMDAN BÜYÜK DÖNERLİ 1000T</v>
      </c>
      <c r="Q224" s="1">
        <f t="shared" si="17"/>
        <v>5700</v>
      </c>
      <c r="R224" t="str">
        <f t="shared" si="18"/>
        <v>TL</v>
      </c>
      <c r="S224" t="str">
        <f t="shared" si="19"/>
        <v>KEA</v>
      </c>
      <c r="T224" t="str">
        <f t="shared" si="15"/>
        <v>kea</v>
      </c>
    </row>
    <row r="225" spans="1:20" x14ac:dyDescent="0.25">
      <c r="A225" t="s">
        <v>1422</v>
      </c>
      <c r="B225">
        <v>343</v>
      </c>
      <c r="C225" t="s">
        <v>2177</v>
      </c>
      <c r="D225" t="s">
        <v>202</v>
      </c>
      <c r="E225">
        <v>2850</v>
      </c>
      <c r="F225" t="s">
        <v>0</v>
      </c>
      <c r="G225" t="s">
        <v>1525</v>
      </c>
      <c r="H225" t="s">
        <v>1425</v>
      </c>
      <c r="I225" t="s">
        <v>1426</v>
      </c>
      <c r="J225" t="s">
        <v>1426</v>
      </c>
      <c r="O225">
        <v>344</v>
      </c>
      <c r="P225" t="str">
        <f t="shared" si="16"/>
        <v>FIRIN ŞAMDAN DÖNERLİ 1003</v>
      </c>
      <c r="Q225" s="1">
        <f t="shared" si="17"/>
        <v>5000</v>
      </c>
      <c r="R225" t="str">
        <f t="shared" si="18"/>
        <v>TL</v>
      </c>
      <c r="S225" t="str">
        <f t="shared" si="19"/>
        <v>KEA</v>
      </c>
      <c r="T225" t="str">
        <f t="shared" si="15"/>
        <v>kea</v>
      </c>
    </row>
    <row r="226" spans="1:20" x14ac:dyDescent="0.25">
      <c r="A226" t="s">
        <v>1422</v>
      </c>
      <c r="B226">
        <v>344</v>
      </c>
      <c r="C226" t="s">
        <v>2176</v>
      </c>
      <c r="D226" t="s">
        <v>203</v>
      </c>
      <c r="E226">
        <v>2500</v>
      </c>
      <c r="F226" t="s">
        <v>0</v>
      </c>
      <c r="G226" t="s">
        <v>1525</v>
      </c>
      <c r="H226" t="s">
        <v>1425</v>
      </c>
      <c r="I226" t="s">
        <v>1426</v>
      </c>
      <c r="J226" t="s">
        <v>1426</v>
      </c>
      <c r="O226">
        <v>345</v>
      </c>
      <c r="P226" t="str">
        <f t="shared" si="16"/>
        <v>FIRIN ŞAMDAN TERMOSTATLI 1005 YUVARLAK</v>
      </c>
      <c r="Q226" s="1">
        <f t="shared" si="17"/>
        <v>4500</v>
      </c>
      <c r="R226" t="str">
        <f t="shared" si="18"/>
        <v>TL</v>
      </c>
      <c r="S226" t="str">
        <f t="shared" si="19"/>
        <v>KEA</v>
      </c>
      <c r="T226" t="str">
        <f t="shared" si="15"/>
        <v>kea</v>
      </c>
    </row>
    <row r="227" spans="1:20" x14ac:dyDescent="0.25">
      <c r="A227" t="s">
        <v>1422</v>
      </c>
      <c r="B227">
        <v>345</v>
      </c>
      <c r="C227" t="s">
        <v>2175</v>
      </c>
      <c r="D227" t="s">
        <v>204</v>
      </c>
      <c r="E227">
        <v>2250</v>
      </c>
      <c r="F227" t="s">
        <v>0</v>
      </c>
      <c r="G227" t="s">
        <v>1525</v>
      </c>
      <c r="H227" t="s">
        <v>1425</v>
      </c>
      <c r="I227" t="s">
        <v>1426</v>
      </c>
      <c r="J227" t="s">
        <v>1426</v>
      </c>
      <c r="O227">
        <v>346</v>
      </c>
      <c r="P227" t="str">
        <f t="shared" si="16"/>
        <v>UFO ŞAMDAN 4003 (2200W)</v>
      </c>
      <c r="Q227" s="1">
        <f t="shared" si="17"/>
        <v>2600</v>
      </c>
      <c r="R227" t="str">
        <f t="shared" si="18"/>
        <v>TL</v>
      </c>
      <c r="S227" t="str">
        <f t="shared" si="19"/>
        <v>KEA</v>
      </c>
      <c r="T227" t="str">
        <f t="shared" si="15"/>
        <v>kea</v>
      </c>
    </row>
    <row r="228" spans="1:20" x14ac:dyDescent="0.25">
      <c r="A228" t="s">
        <v>1422</v>
      </c>
      <c r="B228">
        <v>346</v>
      </c>
      <c r="C228" t="s">
        <v>1582</v>
      </c>
      <c r="D228" t="s">
        <v>205</v>
      </c>
      <c r="E228">
        <v>1300</v>
      </c>
      <c r="F228" t="s">
        <v>0</v>
      </c>
      <c r="G228" t="s">
        <v>1525</v>
      </c>
      <c r="H228" t="s">
        <v>1425</v>
      </c>
      <c r="I228" t="s">
        <v>1426</v>
      </c>
      <c r="J228" t="s">
        <v>1426</v>
      </c>
      <c r="O228">
        <v>348</v>
      </c>
      <c r="P228" t="str">
        <f t="shared" si="16"/>
        <v>ÜTÜ TEFAL EASYGLİSS PLUS 2700W 5770</v>
      </c>
      <c r="Q228" s="1">
        <f t="shared" si="17"/>
        <v>7000</v>
      </c>
      <c r="R228" t="str">
        <f t="shared" si="18"/>
        <v>TL</v>
      </c>
      <c r="S228" t="str">
        <f t="shared" si="19"/>
        <v>KEA</v>
      </c>
      <c r="T228" t="str">
        <f t="shared" si="15"/>
        <v>kea</v>
      </c>
    </row>
    <row r="229" spans="1:20" x14ac:dyDescent="0.25">
      <c r="A229" t="s">
        <v>1422</v>
      </c>
      <c r="B229">
        <v>348</v>
      </c>
      <c r="C229" t="s">
        <v>1563</v>
      </c>
      <c r="D229" t="s">
        <v>206</v>
      </c>
      <c r="E229">
        <v>3500</v>
      </c>
      <c r="F229" t="s">
        <v>0</v>
      </c>
      <c r="G229" t="s">
        <v>1525</v>
      </c>
      <c r="H229" t="s">
        <v>1425</v>
      </c>
      <c r="I229" t="s">
        <v>1426</v>
      </c>
      <c r="J229" t="s">
        <v>1426</v>
      </c>
      <c r="O229">
        <v>354</v>
      </c>
      <c r="P229" t="str">
        <f t="shared" si="16"/>
        <v>TROYA TR519 HAVA SOĞUTUCU MOBİL KLİMA</v>
      </c>
      <c r="Q229" s="1">
        <f t="shared" si="17"/>
        <v>19000</v>
      </c>
      <c r="R229" t="str">
        <f t="shared" si="18"/>
        <v>TL</v>
      </c>
      <c r="S229" t="str">
        <f t="shared" si="19"/>
        <v>KEA</v>
      </c>
      <c r="T229" t="str">
        <f t="shared" si="15"/>
        <v>kea</v>
      </c>
    </row>
    <row r="230" spans="1:20" x14ac:dyDescent="0.25">
      <c r="A230" t="s">
        <v>1422</v>
      </c>
      <c r="B230">
        <v>354</v>
      </c>
      <c r="C230" t="s">
        <v>1601</v>
      </c>
      <c r="D230" t="s">
        <v>207</v>
      </c>
      <c r="E230">
        <v>9500</v>
      </c>
      <c r="F230" t="s">
        <v>0</v>
      </c>
      <c r="G230" t="s">
        <v>1525</v>
      </c>
      <c r="H230" t="s">
        <v>1425</v>
      </c>
      <c r="I230" t="s">
        <v>1426</v>
      </c>
      <c r="J230" t="s">
        <v>1426</v>
      </c>
      <c r="O230">
        <v>355</v>
      </c>
      <c r="P230" t="str">
        <f t="shared" si="16"/>
        <v>UFO AYAK ALİMİNYUM</v>
      </c>
      <c r="Q230" s="1">
        <f t="shared" si="17"/>
        <v>500</v>
      </c>
      <c r="R230" t="str">
        <f t="shared" si="18"/>
        <v>TL</v>
      </c>
      <c r="S230" t="str">
        <f t="shared" si="19"/>
        <v>KEA</v>
      </c>
      <c r="T230" t="str">
        <f t="shared" si="15"/>
        <v>kea</v>
      </c>
    </row>
    <row r="231" spans="1:20" x14ac:dyDescent="0.25">
      <c r="A231" t="s">
        <v>1422</v>
      </c>
      <c r="B231">
        <v>355</v>
      </c>
      <c r="C231" t="s">
        <v>1592</v>
      </c>
      <c r="D231" t="s">
        <v>208</v>
      </c>
      <c r="E231">
        <v>250</v>
      </c>
      <c r="F231" t="s">
        <v>0</v>
      </c>
      <c r="G231" t="s">
        <v>1525</v>
      </c>
      <c r="H231" t="s">
        <v>1425</v>
      </c>
      <c r="I231" t="s">
        <v>1426</v>
      </c>
      <c r="J231" t="s">
        <v>1426</v>
      </c>
      <c r="O231">
        <v>356</v>
      </c>
      <c r="P231" t="str">
        <f t="shared" si="16"/>
        <v xml:space="preserve">UFO AYAĞI METAL </v>
      </c>
      <c r="Q231" s="1">
        <f t="shared" si="17"/>
        <v>600</v>
      </c>
      <c r="R231" t="str">
        <f t="shared" si="18"/>
        <v>TL</v>
      </c>
      <c r="S231" t="str">
        <f t="shared" si="19"/>
        <v>KEA</v>
      </c>
      <c r="T231" t="str">
        <f t="shared" si="15"/>
        <v>kea</v>
      </c>
    </row>
    <row r="232" spans="1:20" x14ac:dyDescent="0.25">
      <c r="A232" t="s">
        <v>1422</v>
      </c>
      <c r="B232">
        <v>356</v>
      </c>
      <c r="C232" t="s">
        <v>1594</v>
      </c>
      <c r="D232" t="s">
        <v>209</v>
      </c>
      <c r="E232">
        <v>300</v>
      </c>
      <c r="F232" t="s">
        <v>0</v>
      </c>
      <c r="G232" t="s">
        <v>1525</v>
      </c>
      <c r="H232" t="s">
        <v>1425</v>
      </c>
      <c r="I232" t="s">
        <v>1426</v>
      </c>
      <c r="J232" t="s">
        <v>1426</v>
      </c>
      <c r="O232">
        <v>357</v>
      </c>
      <c r="P232" t="str">
        <f t="shared" si="16"/>
        <v>UFO AYAĞI TELESKOPİK</v>
      </c>
      <c r="Q232" s="1">
        <f t="shared" si="17"/>
        <v>700</v>
      </c>
      <c r="R232" t="str">
        <f t="shared" si="18"/>
        <v>TL</v>
      </c>
      <c r="S232" t="str">
        <f t="shared" si="19"/>
        <v>KEA</v>
      </c>
      <c r="T232" t="str">
        <f t="shared" si="15"/>
        <v>kea</v>
      </c>
    </row>
    <row r="233" spans="1:20" x14ac:dyDescent="0.25">
      <c r="A233" t="s">
        <v>1422</v>
      </c>
      <c r="B233">
        <v>357</v>
      </c>
      <c r="C233" t="s">
        <v>1593</v>
      </c>
      <c r="D233" t="s">
        <v>210</v>
      </c>
      <c r="E233">
        <v>350</v>
      </c>
      <c r="F233" t="s">
        <v>0</v>
      </c>
      <c r="G233" t="s">
        <v>1525</v>
      </c>
      <c r="H233" t="s">
        <v>1425</v>
      </c>
      <c r="I233" t="s">
        <v>1426</v>
      </c>
      <c r="J233" t="s">
        <v>1426</v>
      </c>
      <c r="O233">
        <v>358</v>
      </c>
      <c r="P233" t="str">
        <f t="shared" si="16"/>
        <v>FIRIN UĞUR BÜYÜK BOY YUVARLAK TERMOSTATLI</v>
      </c>
      <c r="Q233" s="1">
        <f t="shared" si="17"/>
        <v>4400</v>
      </c>
      <c r="R233" t="str">
        <f t="shared" si="18"/>
        <v>TL</v>
      </c>
      <c r="S233" t="str">
        <f t="shared" si="19"/>
        <v>KEA</v>
      </c>
      <c r="T233" t="str">
        <f t="shared" si="15"/>
        <v>kea</v>
      </c>
    </row>
    <row r="234" spans="1:20" x14ac:dyDescent="0.25">
      <c r="A234" t="s">
        <v>1422</v>
      </c>
      <c r="B234">
        <v>358</v>
      </c>
      <c r="C234" t="s">
        <v>2174</v>
      </c>
      <c r="D234" t="s">
        <v>211</v>
      </c>
      <c r="E234">
        <v>2200</v>
      </c>
      <c r="F234" t="s">
        <v>0</v>
      </c>
      <c r="G234" t="s">
        <v>1525</v>
      </c>
      <c r="H234" t="s">
        <v>1425</v>
      </c>
      <c r="I234" t="s">
        <v>1426</v>
      </c>
      <c r="J234" t="s">
        <v>1426</v>
      </c>
      <c r="O234">
        <v>359</v>
      </c>
      <c r="P234" t="str">
        <f t="shared" si="16"/>
        <v>KATMER SACI UĞUR</v>
      </c>
      <c r="Q234" s="1">
        <f t="shared" si="17"/>
        <v>3400</v>
      </c>
      <c r="R234" t="str">
        <f t="shared" si="18"/>
        <v>TL</v>
      </c>
      <c r="S234" t="str">
        <f t="shared" si="19"/>
        <v>KEA</v>
      </c>
      <c r="T234" t="str">
        <f t="shared" si="15"/>
        <v>kea</v>
      </c>
    </row>
    <row r="235" spans="1:20" x14ac:dyDescent="0.25">
      <c r="A235" t="s">
        <v>1422</v>
      </c>
      <c r="B235">
        <v>359</v>
      </c>
      <c r="C235" t="s">
        <v>2132</v>
      </c>
      <c r="D235" t="s">
        <v>212</v>
      </c>
      <c r="E235">
        <v>1700</v>
      </c>
      <c r="F235" t="s">
        <v>0</v>
      </c>
      <c r="G235" t="s">
        <v>1525</v>
      </c>
      <c r="H235" t="s">
        <v>1425</v>
      </c>
      <c r="I235" t="s">
        <v>1426</v>
      </c>
      <c r="J235" t="s">
        <v>1426</v>
      </c>
      <c r="O235">
        <v>360</v>
      </c>
      <c r="P235" t="str">
        <f t="shared" si="16"/>
        <v>KATMER SACI UĞUR BÜYÜK</v>
      </c>
      <c r="Q235" s="1">
        <f t="shared" si="17"/>
        <v>3800</v>
      </c>
      <c r="R235" t="str">
        <f t="shared" si="18"/>
        <v>TL</v>
      </c>
      <c r="S235" t="str">
        <f t="shared" si="19"/>
        <v>KEA</v>
      </c>
      <c r="T235" t="str">
        <f t="shared" si="15"/>
        <v>kea</v>
      </c>
    </row>
    <row r="236" spans="1:20" x14ac:dyDescent="0.25">
      <c r="A236" t="s">
        <v>1422</v>
      </c>
      <c r="B236">
        <v>360</v>
      </c>
      <c r="C236" t="s">
        <v>2131</v>
      </c>
      <c r="D236" t="s">
        <v>213</v>
      </c>
      <c r="E236">
        <v>1900</v>
      </c>
      <c r="F236" t="s">
        <v>0</v>
      </c>
      <c r="G236" t="s">
        <v>1525</v>
      </c>
      <c r="H236" t="s">
        <v>1425</v>
      </c>
      <c r="I236" t="s">
        <v>1426</v>
      </c>
      <c r="J236" t="s">
        <v>1426</v>
      </c>
      <c r="O236">
        <v>361</v>
      </c>
      <c r="P236" t="str">
        <f t="shared" si="16"/>
        <v>FIRIN UĞUR YUVARLAK TERMOSTATLI</v>
      </c>
      <c r="Q236" s="1">
        <f t="shared" si="17"/>
        <v>3800</v>
      </c>
      <c r="R236" t="str">
        <f t="shared" si="18"/>
        <v>TL</v>
      </c>
      <c r="S236" t="str">
        <f t="shared" si="19"/>
        <v>KEA</v>
      </c>
      <c r="T236" t="str">
        <f t="shared" si="15"/>
        <v>kea</v>
      </c>
    </row>
    <row r="237" spans="1:20" x14ac:dyDescent="0.25">
      <c r="A237" t="s">
        <v>1422</v>
      </c>
      <c r="B237">
        <v>361</v>
      </c>
      <c r="C237" t="s">
        <v>2173</v>
      </c>
      <c r="D237" t="s">
        <v>214</v>
      </c>
      <c r="E237">
        <v>1900</v>
      </c>
      <c r="F237" t="s">
        <v>0</v>
      </c>
      <c r="G237" t="s">
        <v>1525</v>
      </c>
      <c r="H237" t="s">
        <v>1425</v>
      </c>
      <c r="I237" t="s">
        <v>1426</v>
      </c>
      <c r="J237" t="s">
        <v>1426</v>
      </c>
      <c r="O237">
        <v>363</v>
      </c>
      <c r="P237" t="str">
        <f t="shared" si="16"/>
        <v>ÜTÜ MASASI DAİLMOND DENİZ</v>
      </c>
      <c r="Q237" s="1">
        <f t="shared" si="17"/>
        <v>3200</v>
      </c>
      <c r="R237" t="str">
        <f t="shared" si="18"/>
        <v>TL</v>
      </c>
      <c r="S237" t="str">
        <f t="shared" si="19"/>
        <v>KEA</v>
      </c>
      <c r="T237" t="str">
        <f t="shared" si="15"/>
        <v>kea</v>
      </c>
    </row>
    <row r="238" spans="1:20" x14ac:dyDescent="0.25">
      <c r="A238" t="s">
        <v>1422</v>
      </c>
      <c r="B238">
        <v>363</v>
      </c>
      <c r="C238" t="s">
        <v>1569</v>
      </c>
      <c r="D238" t="s">
        <v>215</v>
      </c>
      <c r="E238">
        <v>1600</v>
      </c>
      <c r="F238" t="s">
        <v>0</v>
      </c>
      <c r="G238" t="s">
        <v>1525</v>
      </c>
      <c r="H238" t="s">
        <v>1425</v>
      </c>
      <c r="I238" t="s">
        <v>1426</v>
      </c>
      <c r="J238" t="s">
        <v>1426</v>
      </c>
      <c r="O238">
        <v>364</v>
      </c>
      <c r="P238" t="str">
        <f t="shared" si="16"/>
        <v>ÜTÜ MASASI DAİLMOND EMİR</v>
      </c>
      <c r="Q238" s="1">
        <f t="shared" si="17"/>
        <v>3700</v>
      </c>
      <c r="R238" t="str">
        <f t="shared" si="18"/>
        <v>TL</v>
      </c>
      <c r="S238" t="str">
        <f t="shared" si="19"/>
        <v>KEA</v>
      </c>
      <c r="T238" t="str">
        <f t="shared" si="15"/>
        <v>kea</v>
      </c>
    </row>
    <row r="239" spans="1:20" x14ac:dyDescent="0.25">
      <c r="A239" t="s">
        <v>1422</v>
      </c>
      <c r="B239">
        <v>364</v>
      </c>
      <c r="C239" t="s">
        <v>1568</v>
      </c>
      <c r="D239" t="s">
        <v>216</v>
      </c>
      <c r="E239">
        <v>1850</v>
      </c>
      <c r="F239" t="s">
        <v>0</v>
      </c>
      <c r="G239" t="s">
        <v>1525</v>
      </c>
      <c r="H239" t="s">
        <v>1425</v>
      </c>
      <c r="I239" t="s">
        <v>1426</v>
      </c>
      <c r="J239" t="s">
        <v>1426</v>
      </c>
      <c r="O239">
        <v>365</v>
      </c>
      <c r="P239" t="str">
        <f t="shared" si="16"/>
        <v>ŞOFBEN YILDIRAY  MUTFAK ŞOFBENİ</v>
      </c>
      <c r="Q239" s="1">
        <f t="shared" si="17"/>
        <v>0</v>
      </c>
      <c r="R239" t="str">
        <f t="shared" si="18"/>
        <v>TL</v>
      </c>
      <c r="S239" t="str">
        <f t="shared" si="19"/>
        <v>KEA</v>
      </c>
      <c r="T239" t="str">
        <f t="shared" si="15"/>
        <v>kea</v>
      </c>
    </row>
    <row r="240" spans="1:20" x14ac:dyDescent="0.25">
      <c r="A240" t="s">
        <v>1422</v>
      </c>
      <c r="B240">
        <v>365</v>
      </c>
      <c r="C240" t="s">
        <v>1631</v>
      </c>
      <c r="D240" t="s">
        <v>217</v>
      </c>
      <c r="E240">
        <v>0</v>
      </c>
      <c r="F240" t="s">
        <v>0</v>
      </c>
      <c r="G240" t="s">
        <v>1525</v>
      </c>
      <c r="H240" t="s">
        <v>1425</v>
      </c>
      <c r="I240" t="s">
        <v>1426</v>
      </c>
      <c r="J240" t="s">
        <v>1426</v>
      </c>
      <c r="O240">
        <v>366</v>
      </c>
      <c r="P240" t="str">
        <f t="shared" si="16"/>
        <v>ŞOFBEN YILDIRAY ELEKTRİKLİ ŞOFBEN</v>
      </c>
      <c r="Q240" s="1">
        <f t="shared" si="17"/>
        <v>0</v>
      </c>
      <c r="R240" t="str">
        <f t="shared" si="18"/>
        <v>TL</v>
      </c>
      <c r="S240" t="str">
        <f t="shared" si="19"/>
        <v>KEA</v>
      </c>
      <c r="T240" t="str">
        <f t="shared" si="15"/>
        <v>kea</v>
      </c>
    </row>
    <row r="241" spans="1:20" x14ac:dyDescent="0.25">
      <c r="A241" t="s">
        <v>1422</v>
      </c>
      <c r="B241">
        <v>366</v>
      </c>
      <c r="C241" t="s">
        <v>1630</v>
      </c>
      <c r="D241" t="s">
        <v>218</v>
      </c>
      <c r="E241">
        <v>0</v>
      </c>
      <c r="F241" t="s">
        <v>0</v>
      </c>
      <c r="G241" t="s">
        <v>1525</v>
      </c>
      <c r="H241" t="s">
        <v>1425</v>
      </c>
      <c r="I241" t="s">
        <v>1426</v>
      </c>
      <c r="J241" t="s">
        <v>1426</v>
      </c>
      <c r="O241">
        <v>367</v>
      </c>
      <c r="P241" t="str">
        <f t="shared" si="16"/>
        <v>ASKILIK</v>
      </c>
      <c r="Q241" s="1">
        <f t="shared" si="17"/>
        <v>1400</v>
      </c>
      <c r="R241" t="str">
        <f t="shared" si="18"/>
        <v>TL</v>
      </c>
      <c r="S241" t="str">
        <f t="shared" si="19"/>
        <v>KEA</v>
      </c>
      <c r="T241" t="str">
        <f t="shared" si="15"/>
        <v>kea</v>
      </c>
    </row>
    <row r="242" spans="1:20" x14ac:dyDescent="0.25">
      <c r="A242" t="s">
        <v>1422</v>
      </c>
      <c r="B242">
        <v>367</v>
      </c>
      <c r="C242" t="s">
        <v>2313</v>
      </c>
      <c r="D242" t="s">
        <v>219</v>
      </c>
      <c r="E242">
        <v>700</v>
      </c>
      <c r="F242" t="s">
        <v>0</v>
      </c>
      <c r="G242" t="s">
        <v>1525</v>
      </c>
      <c r="H242" t="s">
        <v>1425</v>
      </c>
      <c r="I242" t="s">
        <v>1426</v>
      </c>
      <c r="J242" t="s">
        <v>1426</v>
      </c>
      <c r="O242">
        <v>368</v>
      </c>
      <c r="P242" t="str">
        <f t="shared" si="16"/>
        <v>ASKILIK ÇİFTLİ</v>
      </c>
      <c r="Q242" s="1">
        <f t="shared" si="17"/>
        <v>1500</v>
      </c>
      <c r="R242" t="str">
        <f t="shared" si="18"/>
        <v>TL</v>
      </c>
      <c r="S242" t="str">
        <f t="shared" si="19"/>
        <v>KEA</v>
      </c>
      <c r="T242" t="str">
        <f t="shared" si="15"/>
        <v>kea</v>
      </c>
    </row>
    <row r="243" spans="1:20" x14ac:dyDescent="0.25">
      <c r="A243" t="s">
        <v>1422</v>
      </c>
      <c r="B243">
        <v>368</v>
      </c>
      <c r="C243" t="s">
        <v>2312</v>
      </c>
      <c r="D243" t="s">
        <v>220</v>
      </c>
      <c r="E243">
        <v>750</v>
      </c>
      <c r="F243" t="s">
        <v>0</v>
      </c>
      <c r="G243" t="s">
        <v>1525</v>
      </c>
      <c r="H243" t="s">
        <v>1425</v>
      </c>
      <c r="I243" t="s">
        <v>1426</v>
      </c>
      <c r="J243" t="s">
        <v>1426</v>
      </c>
      <c r="O243">
        <v>369</v>
      </c>
      <c r="P243" t="str">
        <f t="shared" si="16"/>
        <v>BEŞİK BAHAR</v>
      </c>
      <c r="Q243" s="1">
        <f t="shared" si="17"/>
        <v>2700</v>
      </c>
      <c r="R243" t="str">
        <f t="shared" si="18"/>
        <v>TL</v>
      </c>
      <c r="S243" t="str">
        <f t="shared" si="19"/>
        <v>KEA</v>
      </c>
      <c r="T243" t="str">
        <f t="shared" si="15"/>
        <v>kea</v>
      </c>
    </row>
    <row r="244" spans="1:20" x14ac:dyDescent="0.25">
      <c r="A244" t="s">
        <v>1422</v>
      </c>
      <c r="B244">
        <v>369</v>
      </c>
      <c r="C244" t="s">
        <v>2298</v>
      </c>
      <c r="D244" t="s">
        <v>221</v>
      </c>
      <c r="E244">
        <v>1350</v>
      </c>
      <c r="F244" t="s">
        <v>0</v>
      </c>
      <c r="G244" t="s">
        <v>1525</v>
      </c>
      <c r="H244" t="s">
        <v>1425</v>
      </c>
      <c r="I244" t="s">
        <v>1426</v>
      </c>
      <c r="J244" t="s">
        <v>1426</v>
      </c>
      <c r="O244">
        <v>370</v>
      </c>
      <c r="P244" t="str">
        <f t="shared" si="16"/>
        <v>SANDALYE BAR SANDALYESİ SUVEREN</v>
      </c>
      <c r="Q244" s="1">
        <f t="shared" si="17"/>
        <v>3700</v>
      </c>
      <c r="R244" t="str">
        <f t="shared" si="18"/>
        <v>TL</v>
      </c>
      <c r="S244" t="str">
        <f t="shared" si="19"/>
        <v>MASA-SAND-SEHPA-ZİGON</v>
      </c>
      <c r="T244" t="str">
        <f t="shared" si="15"/>
        <v>mssz</v>
      </c>
    </row>
    <row r="245" spans="1:20" x14ac:dyDescent="0.25">
      <c r="A245" t="s">
        <v>1422</v>
      </c>
      <c r="B245">
        <v>370</v>
      </c>
      <c r="C245" t="s">
        <v>1781</v>
      </c>
      <c r="D245" t="s">
        <v>222</v>
      </c>
      <c r="E245">
        <v>1850</v>
      </c>
      <c r="F245" t="s">
        <v>0</v>
      </c>
      <c r="G245" t="s">
        <v>1424</v>
      </c>
      <c r="H245" t="s">
        <v>1425</v>
      </c>
      <c r="I245" t="s">
        <v>1426</v>
      </c>
      <c r="J245" t="s">
        <v>1426</v>
      </c>
      <c r="O245">
        <v>371</v>
      </c>
      <c r="P245" t="str">
        <f t="shared" si="16"/>
        <v>BEKLEME KOLTUĞU İKİLİ SILA</v>
      </c>
      <c r="Q245" s="1">
        <f t="shared" si="17"/>
        <v>6800</v>
      </c>
      <c r="R245" t="str">
        <f t="shared" si="18"/>
        <v>TL</v>
      </c>
      <c r="S245" t="str">
        <f t="shared" si="19"/>
        <v>MOBİLYA</v>
      </c>
      <c r="T245" t="str">
        <f t="shared" si="15"/>
        <v>mobilya</v>
      </c>
    </row>
    <row r="246" spans="1:20" x14ac:dyDescent="0.25">
      <c r="A246" t="s">
        <v>1422</v>
      </c>
      <c r="B246">
        <v>371</v>
      </c>
      <c r="C246" t="s">
        <v>2300</v>
      </c>
      <c r="D246" t="s">
        <v>223</v>
      </c>
      <c r="E246">
        <v>3400</v>
      </c>
      <c r="F246" t="s">
        <v>0</v>
      </c>
      <c r="G246" t="s">
        <v>1560</v>
      </c>
      <c r="H246" t="s">
        <v>1425</v>
      </c>
      <c r="I246" t="s">
        <v>1426</v>
      </c>
      <c r="J246" t="s">
        <v>1426</v>
      </c>
      <c r="O246">
        <v>372</v>
      </c>
      <c r="P246" t="str">
        <f t="shared" si="16"/>
        <v>BEKLEME KOLTUĞU TEKLİ SILA</v>
      </c>
      <c r="Q246" s="1">
        <f t="shared" si="17"/>
        <v>5000</v>
      </c>
      <c r="R246" t="str">
        <f t="shared" si="18"/>
        <v>TL</v>
      </c>
      <c r="S246" t="str">
        <f t="shared" si="19"/>
        <v>MOBİLYA</v>
      </c>
      <c r="T246" t="str">
        <f t="shared" si="15"/>
        <v>mobilya</v>
      </c>
    </row>
    <row r="247" spans="1:20" x14ac:dyDescent="0.25">
      <c r="A247" t="s">
        <v>1422</v>
      </c>
      <c r="B247">
        <v>372</v>
      </c>
      <c r="C247" t="s">
        <v>2299</v>
      </c>
      <c r="D247" t="s">
        <v>224</v>
      </c>
      <c r="E247">
        <v>2500</v>
      </c>
      <c r="F247" t="s">
        <v>0</v>
      </c>
      <c r="G247" t="s">
        <v>1560</v>
      </c>
      <c r="H247" t="s">
        <v>1425</v>
      </c>
      <c r="I247" t="s">
        <v>1426</v>
      </c>
      <c r="J247" t="s">
        <v>1426</v>
      </c>
      <c r="O247">
        <v>373</v>
      </c>
      <c r="P247" t="str">
        <f t="shared" si="16"/>
        <v>ZİGON C AHŞAP</v>
      </c>
      <c r="Q247" s="1">
        <f t="shared" si="17"/>
        <v>2300</v>
      </c>
      <c r="R247" t="str">
        <f t="shared" si="18"/>
        <v>TL</v>
      </c>
      <c r="S247" t="str">
        <f t="shared" si="19"/>
        <v>MASA-SAND-SEHPA-ZİGON</v>
      </c>
      <c r="T247" t="str">
        <f t="shared" si="15"/>
        <v>mssz</v>
      </c>
    </row>
    <row r="248" spans="1:20" x14ac:dyDescent="0.25">
      <c r="A248" t="s">
        <v>1422</v>
      </c>
      <c r="B248">
        <v>373</v>
      </c>
      <c r="C248" t="s">
        <v>1506</v>
      </c>
      <c r="D248" t="s">
        <v>2362</v>
      </c>
      <c r="E248">
        <v>1150</v>
      </c>
      <c r="F248" t="s">
        <v>0</v>
      </c>
      <c r="G248" t="s">
        <v>1424</v>
      </c>
      <c r="H248" t="s">
        <v>1425</v>
      </c>
      <c r="I248" t="s">
        <v>1426</v>
      </c>
      <c r="J248" t="s">
        <v>1426</v>
      </c>
      <c r="O248">
        <v>374</v>
      </c>
      <c r="P248" t="str">
        <f t="shared" si="16"/>
        <v>ÇAY SETİ PAPATYA</v>
      </c>
      <c r="Q248" s="1">
        <f t="shared" si="17"/>
        <v>15750</v>
      </c>
      <c r="R248" t="str">
        <f t="shared" si="18"/>
        <v>TL</v>
      </c>
      <c r="S248" t="str">
        <f t="shared" si="19"/>
        <v>MOBİLYA</v>
      </c>
      <c r="T248" t="str">
        <f t="shared" si="15"/>
        <v>mobilya</v>
      </c>
    </row>
    <row r="249" spans="1:20" x14ac:dyDescent="0.25">
      <c r="A249" t="s">
        <v>1422</v>
      </c>
      <c r="B249">
        <v>374</v>
      </c>
      <c r="C249" t="s">
        <v>2264</v>
      </c>
      <c r="D249" t="s">
        <v>225</v>
      </c>
      <c r="E249">
        <v>7875</v>
      </c>
      <c r="F249" t="s">
        <v>0</v>
      </c>
      <c r="G249" t="s">
        <v>1560</v>
      </c>
      <c r="H249" t="s">
        <v>1425</v>
      </c>
      <c r="I249" t="s">
        <v>1426</v>
      </c>
      <c r="J249" t="s">
        <v>1426</v>
      </c>
      <c r="O249">
        <v>375</v>
      </c>
      <c r="P249" t="str">
        <f t="shared" si="16"/>
        <v>ÇAY SETİ SABİT AHŞAP AYAK</v>
      </c>
      <c r="Q249" s="1">
        <f t="shared" si="17"/>
        <v>13500</v>
      </c>
      <c r="R249" t="str">
        <f t="shared" si="18"/>
        <v>TL</v>
      </c>
      <c r="S249" t="str">
        <f t="shared" si="19"/>
        <v>MOBİLYA</v>
      </c>
      <c r="T249" t="str">
        <f t="shared" si="15"/>
        <v>mobilya</v>
      </c>
    </row>
    <row r="250" spans="1:20" x14ac:dyDescent="0.25">
      <c r="A250" t="s">
        <v>1422</v>
      </c>
      <c r="B250">
        <v>375</v>
      </c>
      <c r="C250" t="s">
        <v>2262</v>
      </c>
      <c r="D250" t="s">
        <v>226</v>
      </c>
      <c r="E250">
        <v>6750</v>
      </c>
      <c r="F250" t="s">
        <v>0</v>
      </c>
      <c r="G250" t="s">
        <v>1560</v>
      </c>
      <c r="H250" t="s">
        <v>1425</v>
      </c>
      <c r="I250" t="s">
        <v>1426</v>
      </c>
      <c r="J250" t="s">
        <v>1426</v>
      </c>
      <c r="O250">
        <v>376</v>
      </c>
      <c r="P250" t="str">
        <f t="shared" si="16"/>
        <v>EKMEKLİK TEKLİ BASKILI</v>
      </c>
      <c r="Q250" s="1">
        <f t="shared" si="17"/>
        <v>6000</v>
      </c>
      <c r="R250" t="str">
        <f t="shared" si="18"/>
        <v>TL</v>
      </c>
      <c r="S250" t="str">
        <f t="shared" si="19"/>
        <v>MOBİLYA</v>
      </c>
      <c r="T250" t="str">
        <f t="shared" si="15"/>
        <v>mobilya</v>
      </c>
    </row>
    <row r="251" spans="1:20" x14ac:dyDescent="0.25">
      <c r="A251" t="s">
        <v>1422</v>
      </c>
      <c r="B251">
        <v>376</v>
      </c>
      <c r="C251" t="s">
        <v>2221</v>
      </c>
      <c r="D251" t="s">
        <v>227</v>
      </c>
      <c r="E251">
        <v>3000</v>
      </c>
      <c r="F251" t="s">
        <v>0</v>
      </c>
      <c r="G251" t="s">
        <v>1560</v>
      </c>
      <c r="H251" t="s">
        <v>1425</v>
      </c>
      <c r="I251" t="s">
        <v>1426</v>
      </c>
      <c r="J251" t="s">
        <v>1426</v>
      </c>
      <c r="O251">
        <v>377</v>
      </c>
      <c r="P251" t="str">
        <f t="shared" si="16"/>
        <v>EKMEKLİK TEKLİ DÜZ</v>
      </c>
      <c r="Q251" s="1">
        <f t="shared" si="17"/>
        <v>5700</v>
      </c>
      <c r="R251" t="str">
        <f t="shared" si="18"/>
        <v>TL</v>
      </c>
      <c r="S251" t="str">
        <f t="shared" si="19"/>
        <v>MOBİLYA</v>
      </c>
      <c r="T251" t="str">
        <f t="shared" si="15"/>
        <v>mobilya</v>
      </c>
    </row>
    <row r="252" spans="1:20" x14ac:dyDescent="0.25">
      <c r="A252" t="s">
        <v>1422</v>
      </c>
      <c r="B252">
        <v>377</v>
      </c>
      <c r="C252" t="s">
        <v>2220</v>
      </c>
      <c r="D252" t="s">
        <v>228</v>
      </c>
      <c r="E252">
        <v>2850</v>
      </c>
      <c r="F252" t="s">
        <v>0</v>
      </c>
      <c r="G252" t="s">
        <v>1560</v>
      </c>
      <c r="H252" t="s">
        <v>1425</v>
      </c>
      <c r="I252" t="s">
        <v>1426</v>
      </c>
      <c r="J252" t="s">
        <v>1426</v>
      </c>
      <c r="O252">
        <v>378</v>
      </c>
      <c r="P252" t="str">
        <f t="shared" si="16"/>
        <v>ŞOFBEN HOOK SPRİNG ELEKTRİKLİ</v>
      </c>
      <c r="Q252" s="1">
        <f t="shared" si="17"/>
        <v>2700</v>
      </c>
      <c r="R252" t="str">
        <f t="shared" si="18"/>
        <v>TL</v>
      </c>
      <c r="S252" t="str">
        <f t="shared" si="19"/>
        <v>KEA</v>
      </c>
      <c r="T252" t="str">
        <f t="shared" si="15"/>
        <v>kea</v>
      </c>
    </row>
    <row r="253" spans="1:20" x14ac:dyDescent="0.25">
      <c r="A253" t="s">
        <v>1422</v>
      </c>
      <c r="B253">
        <v>378</v>
      </c>
      <c r="C253" t="s">
        <v>1633</v>
      </c>
      <c r="D253" t="s">
        <v>229</v>
      </c>
      <c r="E253">
        <v>1350</v>
      </c>
      <c r="F253" t="s">
        <v>0</v>
      </c>
      <c r="G253" t="s">
        <v>1525</v>
      </c>
      <c r="H253" t="s">
        <v>1425</v>
      </c>
      <c r="I253" t="s">
        <v>1426</v>
      </c>
      <c r="J253" t="s">
        <v>1426</v>
      </c>
      <c r="O253">
        <v>379</v>
      </c>
      <c r="P253" t="str">
        <f t="shared" si="16"/>
        <v>MASA KATLANIR TEKERLEKLİ(YUSUF)</v>
      </c>
      <c r="Q253" s="1">
        <f t="shared" si="17"/>
        <v>3500</v>
      </c>
      <c r="R253" t="str">
        <f t="shared" si="18"/>
        <v>TL</v>
      </c>
      <c r="S253" t="str">
        <f t="shared" si="19"/>
        <v>MASA-SAND-SEHPA-ZİGON</v>
      </c>
      <c r="T253" t="str">
        <f t="shared" si="15"/>
        <v>mssz</v>
      </c>
    </row>
    <row r="254" spans="1:20" x14ac:dyDescent="0.25">
      <c r="A254" t="s">
        <v>1422</v>
      </c>
      <c r="B254">
        <v>379</v>
      </c>
      <c r="C254" t="s">
        <v>2044</v>
      </c>
      <c r="D254" t="s">
        <v>230</v>
      </c>
      <c r="E254">
        <v>1750</v>
      </c>
      <c r="F254" t="s">
        <v>0</v>
      </c>
      <c r="G254" t="s">
        <v>1424</v>
      </c>
      <c r="H254" t="s">
        <v>1425</v>
      </c>
      <c r="I254" t="s">
        <v>1426</v>
      </c>
      <c r="J254" t="s">
        <v>1426</v>
      </c>
      <c r="O254">
        <v>380</v>
      </c>
      <c r="P254" t="str">
        <f t="shared" si="16"/>
        <v>KURUTMALIK MERCAN</v>
      </c>
      <c r="Q254" s="1">
        <f t="shared" si="17"/>
        <v>1500</v>
      </c>
      <c r="R254" t="str">
        <f t="shared" si="18"/>
        <v>TL</v>
      </c>
      <c r="S254" t="str">
        <f t="shared" si="19"/>
        <v>KEA</v>
      </c>
      <c r="T254" t="str">
        <f t="shared" si="15"/>
        <v>kea</v>
      </c>
    </row>
    <row r="255" spans="1:20" x14ac:dyDescent="0.25">
      <c r="A255" t="s">
        <v>1422</v>
      </c>
      <c r="B255">
        <v>380</v>
      </c>
      <c r="C255" t="s">
        <v>2089</v>
      </c>
      <c r="D255" t="s">
        <v>231</v>
      </c>
      <c r="E255">
        <v>750</v>
      </c>
      <c r="F255" t="s">
        <v>0</v>
      </c>
      <c r="G255" t="s">
        <v>1525</v>
      </c>
      <c r="H255" t="s">
        <v>1425</v>
      </c>
      <c r="I255" t="s">
        <v>1426</v>
      </c>
      <c r="J255" t="s">
        <v>1426</v>
      </c>
      <c r="O255">
        <v>382</v>
      </c>
      <c r="P255" t="str">
        <f t="shared" si="16"/>
        <v>MASA AYAĞI BOYALI</v>
      </c>
      <c r="Q255" s="1">
        <f t="shared" si="17"/>
        <v>1000</v>
      </c>
      <c r="R255" t="str">
        <f t="shared" si="18"/>
        <v>TL</v>
      </c>
      <c r="S255" t="str">
        <f t="shared" si="19"/>
        <v>MASA-SAND-SEHPA-ZİGON</v>
      </c>
      <c r="T255" t="str">
        <f t="shared" si="15"/>
        <v>mssz</v>
      </c>
    </row>
    <row r="256" spans="1:20" x14ac:dyDescent="0.25">
      <c r="A256" t="s">
        <v>1422</v>
      </c>
      <c r="B256">
        <v>382</v>
      </c>
      <c r="C256" t="s">
        <v>2056</v>
      </c>
      <c r="D256" t="s">
        <v>232</v>
      </c>
      <c r="E256">
        <v>500</v>
      </c>
      <c r="F256" t="s">
        <v>0</v>
      </c>
      <c r="G256" t="s">
        <v>1424</v>
      </c>
      <c r="H256" t="s">
        <v>1425</v>
      </c>
      <c r="I256" t="s">
        <v>1426</v>
      </c>
      <c r="J256" t="s">
        <v>1426</v>
      </c>
      <c r="O256">
        <v>385</v>
      </c>
      <c r="P256" t="str">
        <f t="shared" si="16"/>
        <v>MASA KATLANIR 40*60 VERZALİT</v>
      </c>
      <c r="Q256" s="1">
        <f t="shared" si="17"/>
        <v>1450</v>
      </c>
      <c r="R256" t="str">
        <f t="shared" si="18"/>
        <v>TL</v>
      </c>
      <c r="S256" t="str">
        <f t="shared" si="19"/>
        <v>MASA-SAND-SEHPA-ZİGON</v>
      </c>
      <c r="T256" t="str">
        <f t="shared" si="15"/>
        <v>mssz</v>
      </c>
    </row>
    <row r="257" spans="1:20" x14ac:dyDescent="0.25">
      <c r="A257" t="s">
        <v>1422</v>
      </c>
      <c r="B257">
        <v>385</v>
      </c>
      <c r="C257" t="s">
        <v>2051</v>
      </c>
      <c r="D257" t="s">
        <v>233</v>
      </c>
      <c r="E257">
        <v>725</v>
      </c>
      <c r="F257" t="s">
        <v>0</v>
      </c>
      <c r="G257" t="s">
        <v>1424</v>
      </c>
      <c r="H257" t="s">
        <v>1425</v>
      </c>
      <c r="I257" t="s">
        <v>1426</v>
      </c>
      <c r="J257" t="s">
        <v>1426</v>
      </c>
      <c r="O257">
        <v>386</v>
      </c>
      <c r="P257" t="str">
        <f t="shared" si="16"/>
        <v>MASA KATLANIR 50*70 VERZALİT</v>
      </c>
      <c r="Q257" s="1">
        <f t="shared" si="17"/>
        <v>1500</v>
      </c>
      <c r="R257" t="str">
        <f t="shared" si="18"/>
        <v>TL</v>
      </c>
      <c r="S257" t="str">
        <f t="shared" si="19"/>
        <v>MASA-SAND-SEHPA-ZİGON</v>
      </c>
      <c r="T257" t="str">
        <f t="shared" si="15"/>
        <v>mssz</v>
      </c>
    </row>
    <row r="258" spans="1:20" x14ac:dyDescent="0.25">
      <c r="A258" t="s">
        <v>1422</v>
      </c>
      <c r="B258">
        <v>386</v>
      </c>
      <c r="C258" t="s">
        <v>2050</v>
      </c>
      <c r="D258" t="s">
        <v>860</v>
      </c>
      <c r="E258">
        <v>750</v>
      </c>
      <c r="F258" t="s">
        <v>0</v>
      </c>
      <c r="G258" t="s">
        <v>1424</v>
      </c>
      <c r="H258" t="s">
        <v>1425</v>
      </c>
      <c r="I258" t="s">
        <v>1426</v>
      </c>
      <c r="J258" t="s">
        <v>1426</v>
      </c>
      <c r="O258">
        <v>387</v>
      </c>
      <c r="P258" t="str">
        <f t="shared" si="16"/>
        <v>MASA KATLANIR 60*110 VERZALİT</v>
      </c>
      <c r="Q258" s="1">
        <f t="shared" si="17"/>
        <v>1900</v>
      </c>
      <c r="R258" t="str">
        <f t="shared" si="18"/>
        <v>TL</v>
      </c>
      <c r="S258" t="str">
        <f t="shared" si="19"/>
        <v>MASA-SAND-SEHPA-ZİGON</v>
      </c>
      <c r="T258" t="str">
        <f t="shared" si="15"/>
        <v>mssz</v>
      </c>
    </row>
    <row r="259" spans="1:20" x14ac:dyDescent="0.25">
      <c r="A259" t="s">
        <v>1422</v>
      </c>
      <c r="B259">
        <v>387</v>
      </c>
      <c r="C259" t="s">
        <v>2049</v>
      </c>
      <c r="D259" t="s">
        <v>234</v>
      </c>
      <c r="E259">
        <v>950</v>
      </c>
      <c r="F259" t="s">
        <v>0</v>
      </c>
      <c r="G259" t="s">
        <v>1424</v>
      </c>
      <c r="H259" t="s">
        <v>1425</v>
      </c>
      <c r="I259" t="s">
        <v>1426</v>
      </c>
      <c r="J259" t="s">
        <v>1426</v>
      </c>
      <c r="O259">
        <v>388</v>
      </c>
      <c r="P259" t="str">
        <f t="shared" si="16"/>
        <v>MASA KATLANIR 60*60 VERZALİT</v>
      </c>
      <c r="Q259" s="1">
        <f t="shared" si="17"/>
        <v>1500</v>
      </c>
      <c r="R259" t="str">
        <f t="shared" si="18"/>
        <v>TL</v>
      </c>
      <c r="S259" t="str">
        <f t="shared" si="19"/>
        <v>MASA-SAND-SEHPA-ZİGON</v>
      </c>
      <c r="T259" t="str">
        <f t="shared" ref="T259:T315" si="20">IF(S259="KEA","kea",IF(S259="MOBİLYA","mobilya",IF(S259="TÜP","tup",IF(S259="MASA-SAND-SEHPA-ZİGON","mssz",IF(S259="ENDÜSTRİYEL","endustriyel",IF(S259="YEDEK PARÇA","diger",""))))))</f>
        <v>mssz</v>
      </c>
    </row>
    <row r="260" spans="1:20" x14ac:dyDescent="0.25">
      <c r="A260" t="s">
        <v>1422</v>
      </c>
      <c r="B260">
        <v>388</v>
      </c>
      <c r="C260" t="s">
        <v>2048</v>
      </c>
      <c r="D260" t="s">
        <v>235</v>
      </c>
      <c r="E260">
        <v>750</v>
      </c>
      <c r="F260" t="s">
        <v>0</v>
      </c>
      <c r="G260" t="s">
        <v>1424</v>
      </c>
      <c r="H260" t="s">
        <v>1425</v>
      </c>
      <c r="I260" t="s">
        <v>1426</v>
      </c>
      <c r="J260" t="s">
        <v>1426</v>
      </c>
      <c r="O260">
        <v>389</v>
      </c>
      <c r="P260" t="str">
        <f t="shared" ref="P260:P316" si="21">IFERROR(VLOOKUP(O260,$M:$N,2,0), VLOOKUP(O260,$B:$D,3,0))</f>
        <v>MASA KATLANIR 60*90 VERZALİT</v>
      </c>
      <c r="Q260" s="1">
        <f t="shared" ref="Q260:Q316" si="22">VLOOKUP(O260,$B:$E,4,0)*2</f>
        <v>1800</v>
      </c>
      <c r="R260" t="str">
        <f t="shared" ref="R260:R316" si="23">VLOOKUP(O260,$B:$F,5,0)</f>
        <v>TL</v>
      </c>
      <c r="S260" t="str">
        <f t="shared" ref="S260:S316" si="24">VLOOKUP(O260,$B:$G,6,0)</f>
        <v>MASA-SAND-SEHPA-ZİGON</v>
      </c>
      <c r="T260" t="str">
        <f t="shared" si="20"/>
        <v>mssz</v>
      </c>
    </row>
    <row r="261" spans="1:20" x14ac:dyDescent="0.25">
      <c r="A261" t="s">
        <v>1422</v>
      </c>
      <c r="B261">
        <v>389</v>
      </c>
      <c r="C261" t="s">
        <v>2047</v>
      </c>
      <c r="D261" t="s">
        <v>236</v>
      </c>
      <c r="E261">
        <v>900</v>
      </c>
      <c r="F261" t="s">
        <v>0</v>
      </c>
      <c r="G261" t="s">
        <v>1424</v>
      </c>
      <c r="H261" t="s">
        <v>1425</v>
      </c>
      <c r="I261" t="s">
        <v>1426</v>
      </c>
      <c r="J261" t="s">
        <v>1426</v>
      </c>
      <c r="O261">
        <v>390</v>
      </c>
      <c r="P261" t="str">
        <f t="shared" si="21"/>
        <v>MASA KATLANIR 80*140 VERZALİT</v>
      </c>
      <c r="Q261" s="1">
        <f t="shared" si="22"/>
        <v>2600</v>
      </c>
      <c r="R261" t="str">
        <f t="shared" si="23"/>
        <v>TL</v>
      </c>
      <c r="S261" t="str">
        <f t="shared" si="24"/>
        <v>MASA-SAND-SEHPA-ZİGON</v>
      </c>
      <c r="T261" t="str">
        <f t="shared" si="20"/>
        <v>mssz</v>
      </c>
    </row>
    <row r="262" spans="1:20" x14ac:dyDescent="0.25">
      <c r="A262" t="s">
        <v>1422</v>
      </c>
      <c r="B262">
        <v>390</v>
      </c>
      <c r="C262" t="s">
        <v>2045</v>
      </c>
      <c r="D262" t="s">
        <v>237</v>
      </c>
      <c r="E262">
        <v>1300</v>
      </c>
      <c r="F262" t="s">
        <v>0</v>
      </c>
      <c r="G262" t="s">
        <v>1424</v>
      </c>
      <c r="H262" t="s">
        <v>1425</v>
      </c>
      <c r="I262" t="s">
        <v>1426</v>
      </c>
      <c r="J262" t="s">
        <v>1426</v>
      </c>
      <c r="O262">
        <v>404</v>
      </c>
      <c r="P262" t="str">
        <f t="shared" si="21"/>
        <v>MASA BOHEM KOCABAY</v>
      </c>
      <c r="Q262" s="1">
        <f t="shared" si="22"/>
        <v>13000</v>
      </c>
      <c r="R262" t="str">
        <f t="shared" si="23"/>
        <v>TL</v>
      </c>
      <c r="S262" t="str">
        <f t="shared" si="24"/>
        <v>MASA-SAND-SEHPA-ZİGON</v>
      </c>
      <c r="T262" t="str">
        <f t="shared" si="20"/>
        <v>mssz</v>
      </c>
    </row>
    <row r="263" spans="1:20" x14ac:dyDescent="0.25">
      <c r="A263" t="s">
        <v>1422</v>
      </c>
      <c r="B263">
        <v>404</v>
      </c>
      <c r="C263" t="s">
        <v>2055</v>
      </c>
      <c r="D263" t="s">
        <v>238</v>
      </c>
      <c r="E263">
        <v>6500</v>
      </c>
      <c r="F263" t="s">
        <v>0</v>
      </c>
      <c r="G263" t="s">
        <v>1424</v>
      </c>
      <c r="H263" t="s">
        <v>1425</v>
      </c>
      <c r="I263" t="s">
        <v>1426</v>
      </c>
      <c r="J263" t="s">
        <v>1426</v>
      </c>
      <c r="O263">
        <v>406</v>
      </c>
      <c r="P263" t="str">
        <f t="shared" si="21"/>
        <v xml:space="preserve">MASA KÜTÜK </v>
      </c>
      <c r="Q263" s="1">
        <f t="shared" si="22"/>
        <v>7000</v>
      </c>
      <c r="R263" t="str">
        <f t="shared" si="23"/>
        <v>TL</v>
      </c>
      <c r="S263" t="str">
        <f t="shared" si="24"/>
        <v>MASA-SAND-SEHPA-ZİGON</v>
      </c>
      <c r="T263" t="str">
        <f t="shared" si="20"/>
        <v>mssz</v>
      </c>
    </row>
    <row r="264" spans="1:20" x14ac:dyDescent="0.25">
      <c r="A264" t="s">
        <v>1422</v>
      </c>
      <c r="B264">
        <v>406</v>
      </c>
      <c r="C264" t="s">
        <v>2043</v>
      </c>
      <c r="D264" t="s">
        <v>239</v>
      </c>
      <c r="E264">
        <v>3500</v>
      </c>
      <c r="F264" t="s">
        <v>0</v>
      </c>
      <c r="G264" t="s">
        <v>1424</v>
      </c>
      <c r="H264" t="s">
        <v>1425</v>
      </c>
      <c r="I264" t="s">
        <v>1426</v>
      </c>
      <c r="J264" t="s">
        <v>1426</v>
      </c>
      <c r="O264">
        <v>408</v>
      </c>
      <c r="P264" t="str">
        <f t="shared" si="21"/>
        <v>MASA MDF X AYAK SÜRGÜLÜ A.ÇAM/CEVİZ CANIPEK</v>
      </c>
      <c r="Q264" s="1">
        <f t="shared" si="22"/>
        <v>14000</v>
      </c>
      <c r="R264" t="str">
        <f t="shared" si="23"/>
        <v>TL</v>
      </c>
      <c r="S264" t="str">
        <f t="shared" si="24"/>
        <v>MASA-SAND-SEHPA-ZİGON</v>
      </c>
      <c r="T264" t="str">
        <f t="shared" si="20"/>
        <v>mssz</v>
      </c>
    </row>
    <row r="265" spans="1:20" x14ac:dyDescent="0.25">
      <c r="A265" t="s">
        <v>1422</v>
      </c>
      <c r="B265">
        <v>408</v>
      </c>
      <c r="C265" t="s">
        <v>2029</v>
      </c>
      <c r="D265" t="s">
        <v>240</v>
      </c>
      <c r="E265">
        <v>7000</v>
      </c>
      <c r="F265" t="s">
        <v>0</v>
      </c>
      <c r="G265" t="s">
        <v>1424</v>
      </c>
      <c r="H265" t="s">
        <v>1425</v>
      </c>
      <c r="I265" t="s">
        <v>1426</v>
      </c>
      <c r="J265" t="s">
        <v>1426</v>
      </c>
      <c r="O265">
        <v>409</v>
      </c>
      <c r="P265" t="str">
        <f t="shared" si="21"/>
        <v>MASA LAK 80*130  X AYAK SÜRGÜLÜ CEVİZ</v>
      </c>
      <c r="Q265" s="1">
        <f t="shared" si="22"/>
        <v>13000</v>
      </c>
      <c r="R265" t="str">
        <f t="shared" si="23"/>
        <v>TL</v>
      </c>
      <c r="S265" t="str">
        <f t="shared" si="24"/>
        <v>MASA-SAND-SEHPA-ZİGON</v>
      </c>
      <c r="T265" t="str">
        <f t="shared" si="20"/>
        <v>mssz</v>
      </c>
    </row>
    <row r="266" spans="1:20" x14ac:dyDescent="0.25">
      <c r="A266" t="s">
        <v>1422</v>
      </c>
      <c r="B266">
        <v>409</v>
      </c>
      <c r="C266" t="s">
        <v>2042</v>
      </c>
      <c r="D266" t="s">
        <v>241</v>
      </c>
      <c r="E266">
        <v>6500</v>
      </c>
      <c r="F266" t="s">
        <v>0</v>
      </c>
      <c r="G266" t="s">
        <v>1424</v>
      </c>
      <c r="H266" t="s">
        <v>1425</v>
      </c>
      <c r="I266" t="s">
        <v>1426</v>
      </c>
      <c r="J266" t="s">
        <v>1426</v>
      </c>
      <c r="O266">
        <v>410</v>
      </c>
      <c r="P266" t="str">
        <f t="shared" si="21"/>
        <v>MASA MDF TEK KANAT (BZB)</v>
      </c>
      <c r="Q266" s="1">
        <f t="shared" si="22"/>
        <v>10000</v>
      </c>
      <c r="R266" t="str">
        <f t="shared" si="23"/>
        <v>TL</v>
      </c>
      <c r="S266" t="str">
        <f t="shared" si="24"/>
        <v>MASA-SAND-SEHPA-ZİGON</v>
      </c>
      <c r="T266" t="str">
        <f t="shared" si="20"/>
        <v>mssz</v>
      </c>
    </row>
    <row r="267" spans="1:20" x14ac:dyDescent="0.25">
      <c r="A267" t="s">
        <v>1422</v>
      </c>
      <c r="B267">
        <v>410</v>
      </c>
      <c r="C267" t="s">
        <v>2030</v>
      </c>
      <c r="D267" t="s">
        <v>242</v>
      </c>
      <c r="E267">
        <v>5000</v>
      </c>
      <c r="F267" t="s">
        <v>0</v>
      </c>
      <c r="G267" t="s">
        <v>1424</v>
      </c>
      <c r="H267" t="s">
        <v>1425</v>
      </c>
      <c r="I267" t="s">
        <v>1426</v>
      </c>
      <c r="J267" t="s">
        <v>1426</v>
      </c>
      <c r="O267">
        <v>411</v>
      </c>
      <c r="P267" t="str">
        <f t="shared" si="21"/>
        <v>MASA NOVA METAL AYAK FYZ</v>
      </c>
      <c r="Q267" s="1">
        <f t="shared" si="22"/>
        <v>16500</v>
      </c>
      <c r="R267" t="str">
        <f t="shared" si="23"/>
        <v>TL</v>
      </c>
      <c r="S267" t="str">
        <f t="shared" si="24"/>
        <v>MASA-SAND-SEHPA-ZİGON</v>
      </c>
      <c r="T267" t="str">
        <f t="shared" si="20"/>
        <v>mssz</v>
      </c>
    </row>
    <row r="268" spans="1:20" x14ac:dyDescent="0.25">
      <c r="A268" t="s">
        <v>1422</v>
      </c>
      <c r="B268">
        <v>411</v>
      </c>
      <c r="C268" t="s">
        <v>2022</v>
      </c>
      <c r="D268" t="s">
        <v>243</v>
      </c>
      <c r="E268">
        <v>8250</v>
      </c>
      <c r="F268" t="s">
        <v>0</v>
      </c>
      <c r="G268" t="s">
        <v>1424</v>
      </c>
      <c r="H268" t="s">
        <v>1425</v>
      </c>
      <c r="I268" t="s">
        <v>1426</v>
      </c>
      <c r="J268" t="s">
        <v>1426</v>
      </c>
      <c r="O268">
        <v>412</v>
      </c>
      <c r="P268" t="str">
        <f t="shared" si="21"/>
        <v>MASA OLİVA FYZ</v>
      </c>
      <c r="Q268" s="1">
        <f t="shared" si="22"/>
        <v>16500</v>
      </c>
      <c r="R268" t="str">
        <f t="shared" si="23"/>
        <v>TL</v>
      </c>
      <c r="S268" t="str">
        <f t="shared" si="24"/>
        <v>MASA-SAND-SEHPA-ZİGON</v>
      </c>
      <c r="T268" t="str">
        <f t="shared" si="20"/>
        <v>mssz</v>
      </c>
    </row>
    <row r="269" spans="1:20" x14ac:dyDescent="0.25">
      <c r="A269" t="s">
        <v>1422</v>
      </c>
      <c r="B269">
        <v>412</v>
      </c>
      <c r="C269" t="s">
        <v>2021</v>
      </c>
      <c r="D269" t="s">
        <v>244</v>
      </c>
      <c r="E269">
        <v>8250</v>
      </c>
      <c r="F269" t="s">
        <v>0</v>
      </c>
      <c r="G269" t="s">
        <v>1424</v>
      </c>
      <c r="H269" t="s">
        <v>1425</v>
      </c>
      <c r="I269" t="s">
        <v>1426</v>
      </c>
      <c r="J269" t="s">
        <v>1426</v>
      </c>
      <c r="O269">
        <v>413</v>
      </c>
      <c r="P269" t="str">
        <f t="shared" si="21"/>
        <v>MASA COLOR OTOMATİK SOHO (FYZ)</v>
      </c>
      <c r="Q269" s="1">
        <f t="shared" si="22"/>
        <v>12600</v>
      </c>
      <c r="R269" t="str">
        <f t="shared" si="23"/>
        <v>TL</v>
      </c>
      <c r="S269" t="str">
        <f t="shared" si="24"/>
        <v>MASA-SAND-SEHPA-ZİGON</v>
      </c>
      <c r="T269" t="str">
        <f t="shared" si="20"/>
        <v>mssz</v>
      </c>
    </row>
    <row r="270" spans="1:20" x14ac:dyDescent="0.25">
      <c r="A270" t="s">
        <v>1422</v>
      </c>
      <c r="B270">
        <v>413</v>
      </c>
      <c r="C270" t="s">
        <v>2053</v>
      </c>
      <c r="D270" t="s">
        <v>245</v>
      </c>
      <c r="E270">
        <v>6300</v>
      </c>
      <c r="F270" t="s">
        <v>0</v>
      </c>
      <c r="G270" t="s">
        <v>1424</v>
      </c>
      <c r="H270" t="s">
        <v>1425</v>
      </c>
      <c r="I270" t="s">
        <v>1426</v>
      </c>
      <c r="J270" t="s">
        <v>1426</v>
      </c>
      <c r="O270">
        <v>414</v>
      </c>
      <c r="P270" t="str">
        <f t="shared" si="21"/>
        <v>MASA X AYAKLI 80*130 (BZB)</v>
      </c>
      <c r="Q270" s="1">
        <f t="shared" si="22"/>
        <v>13000</v>
      </c>
      <c r="R270" t="str">
        <f t="shared" si="23"/>
        <v>TL</v>
      </c>
      <c r="S270" t="str">
        <f t="shared" si="24"/>
        <v>MASA-SAND-SEHPA-ZİGON</v>
      </c>
      <c r="T270" t="str">
        <f t="shared" si="20"/>
        <v>mssz</v>
      </c>
    </row>
    <row r="271" spans="1:20" x14ac:dyDescent="0.25">
      <c r="A271" t="s">
        <v>1422</v>
      </c>
      <c r="B271">
        <v>414</v>
      </c>
      <c r="C271" t="s">
        <v>1997</v>
      </c>
      <c r="D271" t="s">
        <v>246</v>
      </c>
      <c r="E271">
        <v>6500</v>
      </c>
      <c r="F271" t="s">
        <v>0</v>
      </c>
      <c r="G271" t="s">
        <v>1424</v>
      </c>
      <c r="H271" t="s">
        <v>1425</v>
      </c>
      <c r="I271" t="s">
        <v>1426</v>
      </c>
      <c r="J271" t="s">
        <v>1426</v>
      </c>
      <c r="O271">
        <v>415</v>
      </c>
      <c r="P271" t="str">
        <f t="shared" si="21"/>
        <v>MASA X AYAKLI 90*150 (BZB)</v>
      </c>
      <c r="Q271" s="1">
        <f t="shared" si="22"/>
        <v>15000</v>
      </c>
      <c r="R271" t="str">
        <f t="shared" si="23"/>
        <v>TL</v>
      </c>
      <c r="S271" t="str">
        <f t="shared" si="24"/>
        <v>MASA-SAND-SEHPA-ZİGON</v>
      </c>
      <c r="T271" t="str">
        <f t="shared" si="20"/>
        <v>mssz</v>
      </c>
    </row>
    <row r="272" spans="1:20" x14ac:dyDescent="0.25">
      <c r="A272" t="s">
        <v>1422</v>
      </c>
      <c r="B272">
        <v>415</v>
      </c>
      <c r="C272" t="s">
        <v>1996</v>
      </c>
      <c r="D272" t="s">
        <v>247</v>
      </c>
      <c r="E272">
        <v>7500</v>
      </c>
      <c r="F272" t="s">
        <v>0</v>
      </c>
      <c r="G272" t="s">
        <v>1424</v>
      </c>
      <c r="H272" t="s">
        <v>1425</v>
      </c>
      <c r="I272" t="s">
        <v>1426</v>
      </c>
      <c r="J272" t="s">
        <v>1426</v>
      </c>
      <c r="O272">
        <v>417</v>
      </c>
      <c r="P272" t="str">
        <f t="shared" si="21"/>
        <v>MASA BOHEM YUVARLAK</v>
      </c>
      <c r="Q272" s="1">
        <f t="shared" si="22"/>
        <v>5000</v>
      </c>
      <c r="R272" t="str">
        <f t="shared" si="23"/>
        <v>TL</v>
      </c>
      <c r="S272" t="str">
        <f t="shared" si="24"/>
        <v>MASA-SAND-SEHPA-ZİGON</v>
      </c>
      <c r="T272" t="str">
        <f t="shared" si="20"/>
        <v>mssz</v>
      </c>
    </row>
    <row r="273" spans="1:20" x14ac:dyDescent="0.25">
      <c r="A273" t="s">
        <v>1422</v>
      </c>
      <c r="B273">
        <v>417</v>
      </c>
      <c r="C273" t="s">
        <v>2054</v>
      </c>
      <c r="D273" t="s">
        <v>248</v>
      </c>
      <c r="E273">
        <v>2500</v>
      </c>
      <c r="F273" t="s">
        <v>0</v>
      </c>
      <c r="G273" t="s">
        <v>1424</v>
      </c>
      <c r="H273" t="s">
        <v>1425</v>
      </c>
      <c r="I273" t="s">
        <v>1426</v>
      </c>
      <c r="J273" t="s">
        <v>1426</v>
      </c>
      <c r="O273">
        <v>418</v>
      </c>
      <c r="P273" t="str">
        <f t="shared" si="21"/>
        <v>MASA PLASTİK 70*120 TEAK KUTULU</v>
      </c>
      <c r="Q273" s="1">
        <f t="shared" si="22"/>
        <v>2600</v>
      </c>
      <c r="R273" t="str">
        <f t="shared" si="23"/>
        <v>TL</v>
      </c>
      <c r="S273" t="str">
        <f t="shared" si="24"/>
        <v>MASA-SAND-SEHPA-ZİGON</v>
      </c>
      <c r="T273" t="str">
        <f t="shared" si="20"/>
        <v>mssz</v>
      </c>
    </row>
    <row r="274" spans="1:20" x14ac:dyDescent="0.25">
      <c r="A274" t="s">
        <v>1422</v>
      </c>
      <c r="B274">
        <v>418</v>
      </c>
      <c r="C274" t="s">
        <v>2020</v>
      </c>
      <c r="D274" t="s">
        <v>249</v>
      </c>
      <c r="E274">
        <v>1300</v>
      </c>
      <c r="F274" t="s">
        <v>0</v>
      </c>
      <c r="G274" t="s">
        <v>1424</v>
      </c>
      <c r="H274" t="s">
        <v>1425</v>
      </c>
      <c r="I274" t="s">
        <v>1426</v>
      </c>
      <c r="J274" t="s">
        <v>1426</v>
      </c>
      <c r="O274">
        <v>420</v>
      </c>
      <c r="P274" t="str">
        <f t="shared" si="21"/>
        <v>MASA PLASTİK PALMİRA 70*120</v>
      </c>
      <c r="Q274" s="1">
        <f t="shared" si="22"/>
        <v>2550</v>
      </c>
      <c r="R274" t="str">
        <f t="shared" si="23"/>
        <v>TL</v>
      </c>
      <c r="S274" t="str">
        <f t="shared" si="24"/>
        <v>MASA-SAND-SEHPA-ZİGON</v>
      </c>
      <c r="T274" t="str">
        <f t="shared" si="20"/>
        <v>mssz</v>
      </c>
    </row>
    <row r="275" spans="1:20" x14ac:dyDescent="0.25">
      <c r="A275" t="s">
        <v>1422</v>
      </c>
      <c r="B275">
        <v>419</v>
      </c>
      <c r="C275" t="s">
        <v>2018</v>
      </c>
      <c r="D275" t="s">
        <v>250</v>
      </c>
      <c r="E275">
        <v>1275</v>
      </c>
      <c r="F275" t="s">
        <v>0</v>
      </c>
      <c r="G275" t="s">
        <v>1424</v>
      </c>
      <c r="H275" t="s">
        <v>1425</v>
      </c>
      <c r="I275" t="s">
        <v>1426</v>
      </c>
      <c r="J275" t="s">
        <v>1426</v>
      </c>
      <c r="O275">
        <v>422</v>
      </c>
      <c r="P275" t="str">
        <f t="shared" si="21"/>
        <v>MASA PLASTİK RATTAN 80*140</v>
      </c>
      <c r="Q275" s="1">
        <f t="shared" si="22"/>
        <v>4200</v>
      </c>
      <c r="R275" t="str">
        <f t="shared" si="23"/>
        <v>TL</v>
      </c>
      <c r="S275" t="str">
        <f t="shared" si="24"/>
        <v>MASA-SAND-SEHPA-ZİGON</v>
      </c>
      <c r="T275" t="str">
        <f t="shared" si="20"/>
        <v>mssz</v>
      </c>
    </row>
    <row r="276" spans="1:20" x14ac:dyDescent="0.25">
      <c r="A276" t="s">
        <v>1422</v>
      </c>
      <c r="B276">
        <v>420</v>
      </c>
      <c r="C276" t="s">
        <v>2019</v>
      </c>
      <c r="D276" t="s">
        <v>251</v>
      </c>
      <c r="E276">
        <v>1275</v>
      </c>
      <c r="F276" t="s">
        <v>0</v>
      </c>
      <c r="G276" t="s">
        <v>1424</v>
      </c>
      <c r="H276" t="s">
        <v>1425</v>
      </c>
      <c r="I276" t="s">
        <v>1426</v>
      </c>
      <c r="J276" t="s">
        <v>1426</v>
      </c>
      <c r="O276">
        <v>423</v>
      </c>
      <c r="P276" t="str">
        <f t="shared" si="21"/>
        <v>MASA PLASTİK RATTAN 90*150 ANTRASİT</v>
      </c>
      <c r="Q276" s="1">
        <f t="shared" si="22"/>
        <v>5900</v>
      </c>
      <c r="R276" t="str">
        <f t="shared" si="23"/>
        <v>TL</v>
      </c>
      <c r="S276" t="str">
        <f t="shared" si="24"/>
        <v>MASA-SAND-SEHPA-ZİGON</v>
      </c>
      <c r="T276" t="str">
        <f t="shared" si="20"/>
        <v>mssz</v>
      </c>
    </row>
    <row r="277" spans="1:20" x14ac:dyDescent="0.25">
      <c r="A277" t="s">
        <v>1422</v>
      </c>
      <c r="B277">
        <v>421</v>
      </c>
      <c r="C277" t="s">
        <v>2017</v>
      </c>
      <c r="D277" t="s">
        <v>252</v>
      </c>
      <c r="E277">
        <v>1200</v>
      </c>
      <c r="F277" t="s">
        <v>0</v>
      </c>
      <c r="G277" t="s">
        <v>1424</v>
      </c>
      <c r="H277" t="s">
        <v>1425</v>
      </c>
      <c r="I277" t="s">
        <v>1426</v>
      </c>
      <c r="J277" t="s">
        <v>1426</v>
      </c>
      <c r="O277">
        <v>424</v>
      </c>
      <c r="P277" t="str">
        <f t="shared" si="21"/>
        <v>MASA PLASTİK RATTAN 90*90</v>
      </c>
      <c r="Q277" s="1">
        <f t="shared" si="22"/>
        <v>2700</v>
      </c>
      <c r="R277" t="str">
        <f t="shared" si="23"/>
        <v>TL</v>
      </c>
      <c r="S277" t="str">
        <f t="shared" si="24"/>
        <v>MASA-SAND-SEHPA-ZİGON</v>
      </c>
      <c r="T277" t="str">
        <f t="shared" si="20"/>
        <v>mssz</v>
      </c>
    </row>
    <row r="278" spans="1:20" x14ac:dyDescent="0.25">
      <c r="A278" t="s">
        <v>1422</v>
      </c>
      <c r="B278">
        <v>422</v>
      </c>
      <c r="C278" t="s">
        <v>2016</v>
      </c>
      <c r="D278" t="s">
        <v>253</v>
      </c>
      <c r="E278">
        <v>2100</v>
      </c>
      <c r="F278" t="s">
        <v>0</v>
      </c>
      <c r="G278" t="s">
        <v>1424</v>
      </c>
      <c r="H278" t="s">
        <v>1425</v>
      </c>
      <c r="I278" t="s">
        <v>1426</v>
      </c>
      <c r="J278" t="s">
        <v>1426</v>
      </c>
      <c r="O278">
        <v>425</v>
      </c>
      <c r="P278" t="str">
        <f t="shared" si="21"/>
        <v>MASA PLASTİK RATTAN FLORYA 90*150</v>
      </c>
      <c r="Q278" s="1">
        <f t="shared" si="22"/>
        <v>6000</v>
      </c>
      <c r="R278" t="str">
        <f t="shared" si="23"/>
        <v>TL</v>
      </c>
      <c r="S278" t="str">
        <f t="shared" si="24"/>
        <v>MASA-SAND-SEHPA-ZİGON</v>
      </c>
      <c r="T278" t="str">
        <f t="shared" si="20"/>
        <v>mssz</v>
      </c>
    </row>
    <row r="279" spans="1:20" x14ac:dyDescent="0.25">
      <c r="A279" t="s">
        <v>1422</v>
      </c>
      <c r="B279">
        <v>423</v>
      </c>
      <c r="C279" t="s">
        <v>2015</v>
      </c>
      <c r="D279" t="s">
        <v>254</v>
      </c>
      <c r="E279">
        <v>2950</v>
      </c>
      <c r="F279" t="s">
        <v>0</v>
      </c>
      <c r="G279" t="s">
        <v>1424</v>
      </c>
      <c r="H279" t="s">
        <v>1425</v>
      </c>
      <c r="I279" t="s">
        <v>1426</v>
      </c>
      <c r="J279" t="s">
        <v>1426</v>
      </c>
      <c r="O279">
        <v>427</v>
      </c>
      <c r="P279" t="str">
        <f t="shared" si="21"/>
        <v>MASA SUNTA SABİT 70*110 CEVİZ</v>
      </c>
      <c r="Q279" s="1">
        <f t="shared" si="22"/>
        <v>5000</v>
      </c>
      <c r="R279" t="str">
        <f t="shared" si="23"/>
        <v>TL</v>
      </c>
      <c r="S279" t="str">
        <f t="shared" si="24"/>
        <v>MASA-SAND-SEHPA-ZİGON</v>
      </c>
      <c r="T279" t="str">
        <f t="shared" si="20"/>
        <v>mssz</v>
      </c>
    </row>
    <row r="280" spans="1:20" x14ac:dyDescent="0.25">
      <c r="A280" t="s">
        <v>1422</v>
      </c>
      <c r="B280">
        <v>424</v>
      </c>
      <c r="C280" t="s">
        <v>2014</v>
      </c>
      <c r="D280" t="s">
        <v>255</v>
      </c>
      <c r="E280">
        <v>1350</v>
      </c>
      <c r="F280" t="s">
        <v>0</v>
      </c>
      <c r="G280" t="s">
        <v>1424</v>
      </c>
      <c r="H280" t="s">
        <v>1425</v>
      </c>
      <c r="I280" t="s">
        <v>1426</v>
      </c>
      <c r="J280" t="s">
        <v>1426</v>
      </c>
      <c r="O280">
        <v>431</v>
      </c>
      <c r="P280" t="str">
        <f t="shared" si="21"/>
        <v>MASA SİLVA SABİT</v>
      </c>
      <c r="Q280" s="1">
        <f t="shared" si="22"/>
        <v>15000</v>
      </c>
      <c r="R280" t="str">
        <f t="shared" si="23"/>
        <v>TL</v>
      </c>
      <c r="S280" t="str">
        <f t="shared" si="24"/>
        <v>MASA-SAND-SEHPA-ZİGON</v>
      </c>
      <c r="T280" t="str">
        <f t="shared" si="20"/>
        <v>mssz</v>
      </c>
    </row>
    <row r="281" spans="1:20" x14ac:dyDescent="0.25">
      <c r="A281" t="s">
        <v>1422</v>
      </c>
      <c r="B281">
        <v>425</v>
      </c>
      <c r="C281" t="s">
        <v>2013</v>
      </c>
      <c r="D281" t="s">
        <v>256</v>
      </c>
      <c r="E281">
        <v>3000</v>
      </c>
      <c r="F281" t="s">
        <v>0</v>
      </c>
      <c r="G281" t="s">
        <v>1424</v>
      </c>
      <c r="H281" t="s">
        <v>1425</v>
      </c>
      <c r="I281" t="s">
        <v>1426</v>
      </c>
      <c r="J281" t="s">
        <v>1426</v>
      </c>
      <c r="O281">
        <v>432</v>
      </c>
      <c r="P281" t="str">
        <f t="shared" si="21"/>
        <v>MASA SİLVA KİTABELİ FYZ</v>
      </c>
      <c r="Q281" s="1">
        <f t="shared" si="22"/>
        <v>17000</v>
      </c>
      <c r="R281" t="str">
        <f t="shared" si="23"/>
        <v>TL</v>
      </c>
      <c r="S281" t="str">
        <f t="shared" si="24"/>
        <v>MASA-SAND-SEHPA-ZİGON</v>
      </c>
      <c r="T281" t="str">
        <f t="shared" si="20"/>
        <v>mssz</v>
      </c>
    </row>
    <row r="282" spans="1:20" x14ac:dyDescent="0.25">
      <c r="A282" t="s">
        <v>1422</v>
      </c>
      <c r="B282">
        <v>426</v>
      </c>
      <c r="C282" t="s">
        <v>2012</v>
      </c>
      <c r="D282" t="s">
        <v>257</v>
      </c>
      <c r="E282">
        <v>3000</v>
      </c>
      <c r="F282" t="s">
        <v>0</v>
      </c>
      <c r="G282" t="s">
        <v>1424</v>
      </c>
      <c r="H282" t="s">
        <v>1425</v>
      </c>
      <c r="I282" t="s">
        <v>1426</v>
      </c>
      <c r="J282" t="s">
        <v>1426</v>
      </c>
      <c r="O282">
        <v>433</v>
      </c>
      <c r="P282" t="str">
        <f t="shared" si="21"/>
        <v>MASA SİLVA KARE KOCABAY</v>
      </c>
      <c r="Q282" s="1">
        <f t="shared" si="22"/>
        <v>7200</v>
      </c>
      <c r="R282" t="str">
        <f t="shared" si="23"/>
        <v>TL</v>
      </c>
      <c r="S282" t="str">
        <f t="shared" si="24"/>
        <v>MASA-SAND-SEHPA-ZİGON</v>
      </c>
      <c r="T282" t="str">
        <f t="shared" si="20"/>
        <v>mssz</v>
      </c>
    </row>
    <row r="283" spans="1:20" x14ac:dyDescent="0.25">
      <c r="A283" t="s">
        <v>1422</v>
      </c>
      <c r="B283">
        <v>427</v>
      </c>
      <c r="C283" t="s">
        <v>2003</v>
      </c>
      <c r="D283" t="s">
        <v>258</v>
      </c>
      <c r="E283">
        <v>2500</v>
      </c>
      <c r="F283" t="s">
        <v>0</v>
      </c>
      <c r="G283" t="s">
        <v>1424</v>
      </c>
      <c r="H283" t="s">
        <v>1425</v>
      </c>
      <c r="I283" t="s">
        <v>1426</v>
      </c>
      <c r="J283" t="s">
        <v>1426</v>
      </c>
      <c r="O283">
        <v>434</v>
      </c>
      <c r="P283" t="str">
        <f t="shared" si="21"/>
        <v>MASA SİLVA OVAL KOCABAY</v>
      </c>
      <c r="Q283" s="1">
        <f t="shared" si="22"/>
        <v>6000</v>
      </c>
      <c r="R283" t="str">
        <f t="shared" si="23"/>
        <v>TL</v>
      </c>
      <c r="S283" t="str">
        <f t="shared" si="24"/>
        <v>MASA-SAND-SEHPA-ZİGON</v>
      </c>
      <c r="T283" t="str">
        <f t="shared" si="20"/>
        <v>mssz</v>
      </c>
    </row>
    <row r="284" spans="1:20" x14ac:dyDescent="0.25">
      <c r="A284" t="s">
        <v>1422</v>
      </c>
      <c r="B284">
        <v>431</v>
      </c>
      <c r="C284" t="s">
        <v>2007</v>
      </c>
      <c r="D284" t="s">
        <v>259</v>
      </c>
      <c r="E284">
        <v>7500</v>
      </c>
      <c r="F284" t="s">
        <v>0</v>
      </c>
      <c r="G284" t="s">
        <v>1424</v>
      </c>
      <c r="H284" t="s">
        <v>1425</v>
      </c>
      <c r="I284" t="s">
        <v>1426</v>
      </c>
      <c r="J284" t="s">
        <v>1426</v>
      </c>
      <c r="O284">
        <v>435</v>
      </c>
      <c r="P284" t="str">
        <f t="shared" si="21"/>
        <v>MASA SİYAH MERMER KARİYER</v>
      </c>
      <c r="Q284" s="1">
        <f t="shared" si="22"/>
        <v>6000</v>
      </c>
      <c r="R284" t="str">
        <f t="shared" si="23"/>
        <v>TL</v>
      </c>
      <c r="S284" t="str">
        <f t="shared" si="24"/>
        <v>MASA-SAND-SEHPA-ZİGON</v>
      </c>
      <c r="T284" t="str">
        <f t="shared" si="20"/>
        <v>mssz</v>
      </c>
    </row>
    <row r="285" spans="1:20" x14ac:dyDescent="0.25">
      <c r="A285" t="s">
        <v>1422</v>
      </c>
      <c r="B285">
        <v>432</v>
      </c>
      <c r="C285" t="s">
        <v>2010</v>
      </c>
      <c r="D285" t="s">
        <v>260</v>
      </c>
      <c r="E285">
        <v>8500</v>
      </c>
      <c r="F285" t="s">
        <v>0</v>
      </c>
      <c r="G285" t="s">
        <v>1424</v>
      </c>
      <c r="H285" t="s">
        <v>1425</v>
      </c>
      <c r="I285" t="s">
        <v>1426</v>
      </c>
      <c r="J285" t="s">
        <v>1426</v>
      </c>
      <c r="O285">
        <v>440</v>
      </c>
      <c r="P285" t="str">
        <f t="shared" si="21"/>
        <v>MASA VALDERA (FYZ)</v>
      </c>
      <c r="Q285" s="1">
        <f t="shared" si="22"/>
        <v>19500</v>
      </c>
      <c r="R285" t="str">
        <f t="shared" si="23"/>
        <v>TL</v>
      </c>
      <c r="S285" t="str">
        <f t="shared" si="24"/>
        <v>MASA-SAND-SEHPA-ZİGON</v>
      </c>
      <c r="T285" t="str">
        <f t="shared" si="20"/>
        <v>mssz</v>
      </c>
    </row>
    <row r="286" spans="1:20" x14ac:dyDescent="0.25">
      <c r="A286" t="s">
        <v>1422</v>
      </c>
      <c r="B286">
        <v>433</v>
      </c>
      <c r="C286" t="s">
        <v>2011</v>
      </c>
      <c r="D286" t="s">
        <v>261</v>
      </c>
      <c r="E286">
        <v>3600</v>
      </c>
      <c r="F286" t="s">
        <v>0</v>
      </c>
      <c r="G286" t="s">
        <v>1424</v>
      </c>
      <c r="H286" t="s">
        <v>1425</v>
      </c>
      <c r="I286" t="s">
        <v>1426</v>
      </c>
      <c r="J286" t="s">
        <v>1426</v>
      </c>
      <c r="O286">
        <v>443</v>
      </c>
      <c r="P286" t="str">
        <f t="shared" si="21"/>
        <v>MASA YUVARLAK ODABAŞI</v>
      </c>
      <c r="Q286" s="1">
        <f t="shared" si="22"/>
        <v>4000</v>
      </c>
      <c r="R286" t="str">
        <f t="shared" si="23"/>
        <v>TL</v>
      </c>
      <c r="S286" t="str">
        <f t="shared" si="24"/>
        <v>MASA-SAND-SEHPA-ZİGON</v>
      </c>
      <c r="T286" t="str">
        <f t="shared" si="20"/>
        <v>mssz</v>
      </c>
    </row>
    <row r="287" spans="1:20" x14ac:dyDescent="0.25">
      <c r="A287" t="s">
        <v>1422</v>
      </c>
      <c r="B287">
        <v>434</v>
      </c>
      <c r="C287" t="s">
        <v>2008</v>
      </c>
      <c r="D287" t="s">
        <v>262</v>
      </c>
      <c r="E287">
        <v>3000</v>
      </c>
      <c r="F287" t="s">
        <v>0</v>
      </c>
      <c r="G287" t="s">
        <v>1424</v>
      </c>
      <c r="H287" t="s">
        <v>1425</v>
      </c>
      <c r="I287" t="s">
        <v>1426</v>
      </c>
      <c r="J287" t="s">
        <v>1426</v>
      </c>
      <c r="O287">
        <v>444</v>
      </c>
      <c r="P287" t="str">
        <f t="shared" si="21"/>
        <v>METAL BAHÇE TAKIMI 2-1-1 (ÖMÜR)</v>
      </c>
      <c r="Q287" s="1">
        <f t="shared" si="22"/>
        <v>15000</v>
      </c>
      <c r="R287" t="str">
        <f t="shared" si="23"/>
        <v>TL</v>
      </c>
      <c r="S287" t="str">
        <f t="shared" si="24"/>
        <v>MOBİLYA</v>
      </c>
      <c r="T287" t="str">
        <f t="shared" si="20"/>
        <v>mobilya</v>
      </c>
    </row>
    <row r="288" spans="1:20" x14ac:dyDescent="0.25">
      <c r="A288" t="s">
        <v>1422</v>
      </c>
      <c r="B288">
        <v>435</v>
      </c>
      <c r="C288" t="s">
        <v>2005</v>
      </c>
      <c r="D288" t="s">
        <v>263</v>
      </c>
      <c r="E288">
        <v>3000</v>
      </c>
      <c r="F288" t="s">
        <v>0</v>
      </c>
      <c r="G288" t="s">
        <v>1424</v>
      </c>
      <c r="H288" t="s">
        <v>1425</v>
      </c>
      <c r="I288" t="s">
        <v>1426</v>
      </c>
      <c r="J288" t="s">
        <v>1426</v>
      </c>
      <c r="O288">
        <v>445</v>
      </c>
      <c r="P288" t="str">
        <f t="shared" si="21"/>
        <v>METAL BAHÇE TAKIMI 3-1-1 (ÖMÜR)</v>
      </c>
      <c r="Q288" s="1">
        <f t="shared" si="22"/>
        <v>19000</v>
      </c>
      <c r="R288" t="str">
        <f t="shared" si="23"/>
        <v>TL</v>
      </c>
      <c r="S288" t="str">
        <f t="shared" si="24"/>
        <v>MOBİLYA</v>
      </c>
      <c r="T288" t="str">
        <f t="shared" si="20"/>
        <v>mobilya</v>
      </c>
    </row>
    <row r="289" spans="1:20" x14ac:dyDescent="0.25">
      <c r="A289" t="s">
        <v>1422</v>
      </c>
      <c r="B289">
        <v>440</v>
      </c>
      <c r="C289" t="s">
        <v>1998</v>
      </c>
      <c r="D289" t="s">
        <v>264</v>
      </c>
      <c r="E289">
        <v>9750</v>
      </c>
      <c r="F289" t="s">
        <v>0</v>
      </c>
      <c r="G289" t="s">
        <v>1424</v>
      </c>
      <c r="H289" t="s">
        <v>1425</v>
      </c>
      <c r="I289" t="s">
        <v>1426</v>
      </c>
      <c r="J289" t="s">
        <v>1426</v>
      </c>
      <c r="O289">
        <v>446</v>
      </c>
      <c r="P289" t="str">
        <f t="shared" si="21"/>
        <v>ORTA SEHPA KUĞU NİKEL CAMLI ALFA</v>
      </c>
      <c r="Q289" s="1">
        <f t="shared" si="22"/>
        <v>5200</v>
      </c>
      <c r="R289" t="str">
        <f t="shared" si="23"/>
        <v>TL</v>
      </c>
      <c r="S289" t="str">
        <f t="shared" si="24"/>
        <v>MASA-SAND-SEHPA-ZİGON</v>
      </c>
      <c r="T289" t="str">
        <f t="shared" si="20"/>
        <v>mssz</v>
      </c>
    </row>
    <row r="290" spans="1:20" x14ac:dyDescent="0.25">
      <c r="A290" t="s">
        <v>1422</v>
      </c>
      <c r="B290">
        <v>443</v>
      </c>
      <c r="C290" t="s">
        <v>1995</v>
      </c>
      <c r="D290" t="s">
        <v>265</v>
      </c>
      <c r="E290">
        <v>2000</v>
      </c>
      <c r="F290" t="s">
        <v>0</v>
      </c>
      <c r="G290" t="s">
        <v>1424</v>
      </c>
      <c r="H290" t="s">
        <v>1425</v>
      </c>
      <c r="I290" t="s">
        <v>1426</v>
      </c>
      <c r="J290" t="s">
        <v>1426</v>
      </c>
      <c r="O290">
        <v>447</v>
      </c>
      <c r="P290" t="str">
        <f t="shared" si="21"/>
        <v>ORTA SEHPA 60*90 TEKERLEKLİ SUVEREN</v>
      </c>
      <c r="Q290" s="1">
        <f t="shared" si="22"/>
        <v>2800</v>
      </c>
      <c r="R290" t="str">
        <f t="shared" si="23"/>
        <v>TL</v>
      </c>
      <c r="S290" t="str">
        <f t="shared" si="24"/>
        <v>MASA-SAND-SEHPA-ZİGON</v>
      </c>
      <c r="T290" t="str">
        <f t="shared" si="20"/>
        <v>mssz</v>
      </c>
    </row>
    <row r="291" spans="1:20" x14ac:dyDescent="0.25">
      <c r="A291" t="s">
        <v>1422</v>
      </c>
      <c r="B291">
        <v>444</v>
      </c>
      <c r="C291" t="s">
        <v>1987</v>
      </c>
      <c r="D291" t="s">
        <v>266</v>
      </c>
      <c r="E291">
        <v>7500</v>
      </c>
      <c r="F291" t="s">
        <v>0</v>
      </c>
      <c r="G291" t="s">
        <v>1560</v>
      </c>
      <c r="H291" t="s">
        <v>1425</v>
      </c>
      <c r="I291" t="s">
        <v>1426</v>
      </c>
      <c r="J291" t="s">
        <v>1426</v>
      </c>
      <c r="O291">
        <v>449</v>
      </c>
      <c r="P291" t="str">
        <f t="shared" si="21"/>
        <v>ORTA SEHPA 70*110 TEKERLEKLİ SUVEREN</v>
      </c>
      <c r="Q291" s="1">
        <f t="shared" si="22"/>
        <v>3000</v>
      </c>
      <c r="R291" t="str">
        <f t="shared" si="23"/>
        <v>TL</v>
      </c>
      <c r="S291" t="str">
        <f t="shared" si="24"/>
        <v>MASA-SAND-SEHPA-ZİGON</v>
      </c>
      <c r="T291" t="str">
        <f t="shared" si="20"/>
        <v>mssz</v>
      </c>
    </row>
    <row r="292" spans="1:20" x14ac:dyDescent="0.25">
      <c r="A292" t="s">
        <v>1422</v>
      </c>
      <c r="B292">
        <v>445</v>
      </c>
      <c r="C292" t="s">
        <v>1986</v>
      </c>
      <c r="D292" t="s">
        <v>267</v>
      </c>
      <c r="E292">
        <v>9500</v>
      </c>
      <c r="F292" t="s">
        <v>0</v>
      </c>
      <c r="G292" t="s">
        <v>1560</v>
      </c>
      <c r="H292" t="s">
        <v>1425</v>
      </c>
      <c r="I292" t="s">
        <v>1426</v>
      </c>
      <c r="J292" t="s">
        <v>1426</v>
      </c>
      <c r="O292">
        <v>450</v>
      </c>
      <c r="P292" t="str">
        <f t="shared" si="21"/>
        <v>ORTA SEHPA AKILLI TEKERLİ</v>
      </c>
      <c r="Q292" s="1">
        <f t="shared" si="22"/>
        <v>6400</v>
      </c>
      <c r="R292" t="str">
        <f t="shared" si="23"/>
        <v>TL</v>
      </c>
      <c r="S292" t="str">
        <f t="shared" si="24"/>
        <v>MASA-SAND-SEHPA-ZİGON</v>
      </c>
      <c r="T292" t="str">
        <f t="shared" si="20"/>
        <v>mssz</v>
      </c>
    </row>
    <row r="293" spans="1:20" x14ac:dyDescent="0.25">
      <c r="A293" t="s">
        <v>1422</v>
      </c>
      <c r="B293">
        <v>446</v>
      </c>
      <c r="C293" t="s">
        <v>1874</v>
      </c>
      <c r="D293" t="s">
        <v>268</v>
      </c>
      <c r="E293">
        <v>2600</v>
      </c>
      <c r="F293" t="s">
        <v>0</v>
      </c>
      <c r="G293" t="s">
        <v>1424</v>
      </c>
      <c r="H293" t="s">
        <v>1425</v>
      </c>
      <c r="I293" t="s">
        <v>1426</v>
      </c>
      <c r="J293" t="s">
        <v>1426</v>
      </c>
      <c r="O293">
        <v>451</v>
      </c>
      <c r="P293" t="str">
        <f t="shared" si="21"/>
        <v>ORTA SEHPA AKILLI TEKERSİZ</v>
      </c>
      <c r="Q293" s="1">
        <f t="shared" si="22"/>
        <v>6200</v>
      </c>
      <c r="R293" t="str">
        <f t="shared" si="23"/>
        <v>TL</v>
      </c>
      <c r="S293" t="str">
        <f t="shared" si="24"/>
        <v>MASA-SAND-SEHPA-ZİGON</v>
      </c>
      <c r="T293" t="str">
        <f t="shared" si="20"/>
        <v>mssz</v>
      </c>
    </row>
    <row r="294" spans="1:20" x14ac:dyDescent="0.25">
      <c r="A294" t="s">
        <v>1422</v>
      </c>
      <c r="B294">
        <v>447</v>
      </c>
      <c r="C294" t="s">
        <v>1898</v>
      </c>
      <c r="D294" t="s">
        <v>269</v>
      </c>
      <c r="E294">
        <v>1400</v>
      </c>
      <c r="F294" t="s">
        <v>0</v>
      </c>
      <c r="G294" t="s">
        <v>1424</v>
      </c>
      <c r="H294" t="s">
        <v>1425</v>
      </c>
      <c r="I294" t="s">
        <v>1426</v>
      </c>
      <c r="J294" t="s">
        <v>1426</v>
      </c>
      <c r="O294">
        <v>452</v>
      </c>
      <c r="P294" t="str">
        <f t="shared" si="21"/>
        <v>ORTA SEHPA C AHŞAP TND</v>
      </c>
      <c r="Q294" s="1">
        <f t="shared" si="22"/>
        <v>2600</v>
      </c>
      <c r="R294" t="str">
        <f t="shared" si="23"/>
        <v>TL</v>
      </c>
      <c r="S294" t="str">
        <f t="shared" si="24"/>
        <v>MASA-SAND-SEHPA-ZİGON</v>
      </c>
      <c r="T294" t="str">
        <f t="shared" si="20"/>
        <v>mssz</v>
      </c>
    </row>
    <row r="295" spans="1:20" x14ac:dyDescent="0.25">
      <c r="A295" t="s">
        <v>1422</v>
      </c>
      <c r="B295">
        <v>449</v>
      </c>
      <c r="C295" t="s">
        <v>1897</v>
      </c>
      <c r="D295" t="s">
        <v>270</v>
      </c>
      <c r="E295">
        <v>1500</v>
      </c>
      <c r="F295" t="s">
        <v>0</v>
      </c>
      <c r="G295" t="s">
        <v>1424</v>
      </c>
      <c r="H295" t="s">
        <v>1425</v>
      </c>
      <c r="I295" t="s">
        <v>1426</v>
      </c>
      <c r="J295" t="s">
        <v>1426</v>
      </c>
      <c r="O295">
        <v>454</v>
      </c>
      <c r="P295" t="str">
        <f t="shared" si="21"/>
        <v>ORTA SEHPA CAMLI 60*100 TEKERLEKLİ MASSAN</v>
      </c>
      <c r="Q295" s="1">
        <f t="shared" si="22"/>
        <v>3800</v>
      </c>
      <c r="R295" t="str">
        <f t="shared" si="23"/>
        <v>TL</v>
      </c>
      <c r="S295" t="str">
        <f t="shared" si="24"/>
        <v>MASA-SAND-SEHPA-ZİGON</v>
      </c>
      <c r="T295" t="str">
        <f t="shared" si="20"/>
        <v>mssz</v>
      </c>
    </row>
    <row r="296" spans="1:20" x14ac:dyDescent="0.25">
      <c r="A296" t="s">
        <v>1422</v>
      </c>
      <c r="B296">
        <v>450</v>
      </c>
      <c r="C296" t="s">
        <v>1896</v>
      </c>
      <c r="D296" t="s">
        <v>271</v>
      </c>
      <c r="E296">
        <v>3200</v>
      </c>
      <c r="F296" t="s">
        <v>0</v>
      </c>
      <c r="G296" t="s">
        <v>1424</v>
      </c>
      <c r="H296" t="s">
        <v>1425</v>
      </c>
      <c r="I296" t="s">
        <v>1426</v>
      </c>
      <c r="J296" t="s">
        <v>1426</v>
      </c>
      <c r="O296">
        <v>455</v>
      </c>
      <c r="P296" t="str">
        <f t="shared" si="21"/>
        <v>ORTA SEHPA CAMLI 70*110 TEKERLEKLİ  MASSAN</v>
      </c>
      <c r="Q296" s="1">
        <f t="shared" si="22"/>
        <v>4000</v>
      </c>
      <c r="R296" t="str">
        <f t="shared" si="23"/>
        <v>TL</v>
      </c>
      <c r="S296" t="str">
        <f t="shared" si="24"/>
        <v>MASA-SAND-SEHPA-ZİGON</v>
      </c>
      <c r="T296" t="str">
        <f t="shared" si="20"/>
        <v>mssz</v>
      </c>
    </row>
    <row r="297" spans="1:20" x14ac:dyDescent="0.25">
      <c r="A297" t="s">
        <v>1422</v>
      </c>
      <c r="B297">
        <v>451</v>
      </c>
      <c r="C297" t="s">
        <v>1895</v>
      </c>
      <c r="D297" t="s">
        <v>272</v>
      </c>
      <c r="E297">
        <v>3100</v>
      </c>
      <c r="F297" t="s">
        <v>0</v>
      </c>
      <c r="G297" t="s">
        <v>1424</v>
      </c>
      <c r="H297" t="s">
        <v>1425</v>
      </c>
      <c r="I297" t="s">
        <v>1426</v>
      </c>
      <c r="J297" t="s">
        <v>1426</v>
      </c>
      <c r="O297">
        <v>456</v>
      </c>
      <c r="P297" t="str">
        <f t="shared" si="21"/>
        <v>ORTA SEHPA HASIR C AHŞAP NİKEL / GOLD</v>
      </c>
      <c r="Q297" s="1">
        <f t="shared" si="22"/>
        <v>8000</v>
      </c>
      <c r="R297" t="str">
        <f t="shared" si="23"/>
        <v>TL</v>
      </c>
      <c r="S297" t="str">
        <f t="shared" si="24"/>
        <v>MASA-SAND-SEHPA-ZİGON</v>
      </c>
      <c r="T297" t="str">
        <f t="shared" si="20"/>
        <v>mssz</v>
      </c>
    </row>
    <row r="298" spans="1:20" x14ac:dyDescent="0.25">
      <c r="A298" t="s">
        <v>1422</v>
      </c>
      <c r="B298">
        <v>452</v>
      </c>
      <c r="C298" t="s">
        <v>1894</v>
      </c>
      <c r="D298" t="s">
        <v>273</v>
      </c>
      <c r="E298">
        <v>1300</v>
      </c>
      <c r="F298" t="s">
        <v>0</v>
      </c>
      <c r="G298" t="s">
        <v>1424</v>
      </c>
      <c r="H298" t="s">
        <v>1425</v>
      </c>
      <c r="I298" t="s">
        <v>1426</v>
      </c>
      <c r="J298" t="s">
        <v>1426</v>
      </c>
      <c r="O298">
        <v>457</v>
      </c>
      <c r="P298" t="str">
        <f t="shared" si="21"/>
        <v>ORTA SEHPA HASIR C CAMLI GOLD/NİKEL ODABAŞI</v>
      </c>
      <c r="Q298" s="1">
        <f t="shared" si="22"/>
        <v>8000</v>
      </c>
      <c r="R298" t="str">
        <f t="shared" si="23"/>
        <v>TL</v>
      </c>
      <c r="S298" t="str">
        <f t="shared" si="24"/>
        <v>MASA-SAND-SEHPA-ZİGON</v>
      </c>
      <c r="T298" t="str">
        <f t="shared" si="20"/>
        <v>mssz</v>
      </c>
    </row>
    <row r="299" spans="1:20" x14ac:dyDescent="0.25">
      <c r="A299" t="s">
        <v>1422</v>
      </c>
      <c r="B299">
        <v>454</v>
      </c>
      <c r="C299" t="s">
        <v>1889</v>
      </c>
      <c r="D299" t="s">
        <v>1890</v>
      </c>
      <c r="E299">
        <v>1900</v>
      </c>
      <c r="F299" t="s">
        <v>0</v>
      </c>
      <c r="G299" t="s">
        <v>1424</v>
      </c>
      <c r="H299" t="s">
        <v>1425</v>
      </c>
      <c r="I299" t="s">
        <v>1426</v>
      </c>
      <c r="J299" t="s">
        <v>1426</v>
      </c>
      <c r="O299">
        <v>466</v>
      </c>
      <c r="P299" t="str">
        <f t="shared" si="21"/>
        <v>ORTA SEHPA İZMİR</v>
      </c>
      <c r="Q299" s="1">
        <f t="shared" si="22"/>
        <v>10000</v>
      </c>
      <c r="R299" t="str">
        <f t="shared" si="23"/>
        <v>TL</v>
      </c>
      <c r="S299" t="str">
        <f t="shared" si="24"/>
        <v>MASA-SAND-SEHPA-ZİGON</v>
      </c>
      <c r="T299" t="str">
        <f t="shared" si="20"/>
        <v>mssz</v>
      </c>
    </row>
    <row r="300" spans="1:20" x14ac:dyDescent="0.25">
      <c r="A300" t="s">
        <v>1422</v>
      </c>
      <c r="B300">
        <v>455</v>
      </c>
      <c r="C300" t="s">
        <v>1887</v>
      </c>
      <c r="D300" t="s">
        <v>1888</v>
      </c>
      <c r="E300">
        <v>2000</v>
      </c>
      <c r="F300" t="s">
        <v>0</v>
      </c>
      <c r="G300" t="s">
        <v>1424</v>
      </c>
      <c r="H300" t="s">
        <v>1425</v>
      </c>
      <c r="I300" t="s">
        <v>1426</v>
      </c>
      <c r="J300" t="s">
        <v>1426</v>
      </c>
      <c r="O300">
        <v>470</v>
      </c>
      <c r="P300" t="str">
        <f t="shared" si="21"/>
        <v>ORTA SEHPA KARE CAMLI</v>
      </c>
      <c r="Q300" s="1">
        <f t="shared" si="22"/>
        <v>8000</v>
      </c>
      <c r="R300" t="str">
        <f t="shared" si="23"/>
        <v>TL</v>
      </c>
      <c r="S300" t="str">
        <f t="shared" si="24"/>
        <v>MASA-SAND-SEHPA-ZİGON</v>
      </c>
      <c r="T300" t="str">
        <f t="shared" si="20"/>
        <v>mssz</v>
      </c>
    </row>
    <row r="301" spans="1:20" x14ac:dyDescent="0.25">
      <c r="A301" t="s">
        <v>1422</v>
      </c>
      <c r="B301">
        <v>456</v>
      </c>
      <c r="C301" t="s">
        <v>1886</v>
      </c>
      <c r="D301" t="s">
        <v>274</v>
      </c>
      <c r="E301">
        <v>4000</v>
      </c>
      <c r="F301" t="s">
        <v>0</v>
      </c>
      <c r="G301" t="s">
        <v>1424</v>
      </c>
      <c r="H301" t="s">
        <v>1425</v>
      </c>
      <c r="I301" t="s">
        <v>1426</v>
      </c>
      <c r="J301" t="s">
        <v>1426</v>
      </c>
      <c r="O301">
        <v>471</v>
      </c>
      <c r="P301" t="str">
        <f t="shared" si="21"/>
        <v>ORTA SEHPA KUĞU NİKEL / GOLD CAMLI ALTINAKSESUAR</v>
      </c>
      <c r="Q301" s="1">
        <f t="shared" si="22"/>
        <v>5200</v>
      </c>
      <c r="R301" t="str">
        <f t="shared" si="23"/>
        <v>TL</v>
      </c>
      <c r="S301" t="str">
        <f t="shared" si="24"/>
        <v>MASA-SAND-SEHPA-ZİGON</v>
      </c>
      <c r="T301" t="str">
        <f t="shared" si="20"/>
        <v>mssz</v>
      </c>
    </row>
    <row r="302" spans="1:20" x14ac:dyDescent="0.25">
      <c r="A302" t="s">
        <v>1422</v>
      </c>
      <c r="B302">
        <v>457</v>
      </c>
      <c r="C302" t="s">
        <v>1883</v>
      </c>
      <c r="D302" t="s">
        <v>275</v>
      </c>
      <c r="E302">
        <v>4000</v>
      </c>
      <c r="F302" t="s">
        <v>0</v>
      </c>
      <c r="G302" t="s">
        <v>1424</v>
      </c>
      <c r="H302" t="s">
        <v>1425</v>
      </c>
      <c r="I302" t="s">
        <v>1426</v>
      </c>
      <c r="J302" t="s">
        <v>1426</v>
      </c>
      <c r="O302">
        <v>472</v>
      </c>
      <c r="P302" t="str">
        <f t="shared" si="21"/>
        <v>ORTA SEHPA KUM SAATİ CAMLI</v>
      </c>
      <c r="Q302" s="1">
        <f t="shared" si="22"/>
        <v>3000</v>
      </c>
      <c r="R302" t="str">
        <f t="shared" si="23"/>
        <v>TL</v>
      </c>
      <c r="S302" t="str">
        <f t="shared" si="24"/>
        <v>MASA-SAND-SEHPA-ZİGON</v>
      </c>
      <c r="T302" t="str">
        <f t="shared" si="20"/>
        <v>mssz</v>
      </c>
    </row>
    <row r="303" spans="1:20" x14ac:dyDescent="0.25">
      <c r="A303" t="s">
        <v>1422</v>
      </c>
      <c r="B303">
        <v>458</v>
      </c>
      <c r="C303" t="s">
        <v>1884</v>
      </c>
      <c r="D303" t="s">
        <v>276</v>
      </c>
      <c r="E303">
        <v>4000</v>
      </c>
      <c r="F303" t="s">
        <v>0</v>
      </c>
      <c r="G303" t="s">
        <v>1424</v>
      </c>
      <c r="H303" t="s">
        <v>1425</v>
      </c>
      <c r="I303" t="s">
        <v>1426</v>
      </c>
      <c r="J303" t="s">
        <v>1426</v>
      </c>
      <c r="O303">
        <v>473</v>
      </c>
      <c r="P303" t="str">
        <f t="shared" si="21"/>
        <v>ORTA SEHPA KUM SAATİ HASIRLI CAMLI</v>
      </c>
      <c r="Q303" s="1">
        <f t="shared" si="22"/>
        <v>3000</v>
      </c>
      <c r="R303" t="str">
        <f t="shared" si="23"/>
        <v>TL</v>
      </c>
      <c r="S303" t="str">
        <f t="shared" si="24"/>
        <v>MASA-SAND-SEHPA-ZİGON</v>
      </c>
      <c r="T303" t="str">
        <f t="shared" si="20"/>
        <v>mssz</v>
      </c>
    </row>
    <row r="304" spans="1:20" x14ac:dyDescent="0.25">
      <c r="A304" t="s">
        <v>1422</v>
      </c>
      <c r="B304">
        <v>465</v>
      </c>
      <c r="C304" t="s">
        <v>1885</v>
      </c>
      <c r="D304" t="s">
        <v>277</v>
      </c>
      <c r="E304">
        <v>4000</v>
      </c>
      <c r="F304" t="s">
        <v>0</v>
      </c>
      <c r="G304" t="s">
        <v>1424</v>
      </c>
      <c r="H304" t="s">
        <v>1425</v>
      </c>
      <c r="I304" t="s">
        <v>1426</v>
      </c>
      <c r="J304" t="s">
        <v>1426</v>
      </c>
      <c r="O304">
        <v>474</v>
      </c>
      <c r="P304" t="str">
        <f t="shared" si="21"/>
        <v xml:space="preserve">ORTA SEHPA LUKENS </v>
      </c>
      <c r="Q304" s="1">
        <f t="shared" si="22"/>
        <v>10000</v>
      </c>
      <c r="R304" t="str">
        <f t="shared" si="23"/>
        <v>TL</v>
      </c>
      <c r="S304" t="str">
        <f t="shared" si="24"/>
        <v>MASA-SAND-SEHPA-ZİGON</v>
      </c>
      <c r="T304" t="str">
        <f t="shared" si="20"/>
        <v>mssz</v>
      </c>
    </row>
    <row r="305" spans="1:20" x14ac:dyDescent="0.25">
      <c r="A305" t="s">
        <v>1422</v>
      </c>
      <c r="B305">
        <v>466</v>
      </c>
      <c r="C305" t="s">
        <v>1882</v>
      </c>
      <c r="D305" t="s">
        <v>278</v>
      </c>
      <c r="E305">
        <v>5000</v>
      </c>
      <c r="F305" t="s">
        <v>0</v>
      </c>
      <c r="G305" t="s">
        <v>1424</v>
      </c>
      <c r="H305" t="s">
        <v>1425</v>
      </c>
      <c r="I305" t="s">
        <v>1426</v>
      </c>
      <c r="J305" t="s">
        <v>1426</v>
      </c>
      <c r="O305">
        <v>475</v>
      </c>
      <c r="P305" t="str">
        <f t="shared" si="21"/>
        <v>ORTA SEHPA LÜKENS CANIPEK</v>
      </c>
      <c r="Q305" s="1">
        <f t="shared" si="22"/>
        <v>8000</v>
      </c>
      <c r="R305" t="str">
        <f t="shared" si="23"/>
        <v>TL</v>
      </c>
      <c r="S305" t="str">
        <f t="shared" si="24"/>
        <v>MASA-SAND-SEHPA-ZİGON</v>
      </c>
      <c r="T305" t="str">
        <f t="shared" si="20"/>
        <v>mssz</v>
      </c>
    </row>
    <row r="306" spans="1:20" x14ac:dyDescent="0.25">
      <c r="A306" t="s">
        <v>1422</v>
      </c>
      <c r="B306">
        <v>467</v>
      </c>
      <c r="C306" t="s">
        <v>1881</v>
      </c>
      <c r="D306" t="s">
        <v>279</v>
      </c>
      <c r="E306">
        <v>5000</v>
      </c>
      <c r="F306" t="s">
        <v>0</v>
      </c>
      <c r="G306" t="s">
        <v>1424</v>
      </c>
      <c r="H306" t="s">
        <v>1425</v>
      </c>
      <c r="I306" t="s">
        <v>1426</v>
      </c>
      <c r="J306" t="s">
        <v>1426</v>
      </c>
      <c r="O306">
        <v>478</v>
      </c>
      <c r="P306" t="str">
        <f t="shared" si="21"/>
        <v>ORTA SEHPA OTTO ODABAŞI</v>
      </c>
      <c r="Q306" s="1">
        <f t="shared" si="22"/>
        <v>10000</v>
      </c>
      <c r="R306" t="str">
        <f t="shared" si="23"/>
        <v>TL</v>
      </c>
      <c r="S306" t="str">
        <f t="shared" si="24"/>
        <v>MASA-SAND-SEHPA-ZİGON</v>
      </c>
      <c r="T306" t="str">
        <f t="shared" si="20"/>
        <v>mssz</v>
      </c>
    </row>
    <row r="307" spans="1:20" x14ac:dyDescent="0.25">
      <c r="A307" t="s">
        <v>1422</v>
      </c>
      <c r="B307">
        <v>468</v>
      </c>
      <c r="C307" t="s">
        <v>1880</v>
      </c>
      <c r="D307" t="s">
        <v>280</v>
      </c>
      <c r="E307">
        <v>5000</v>
      </c>
      <c r="F307" t="s">
        <v>0</v>
      </c>
      <c r="G307" t="s">
        <v>1424</v>
      </c>
      <c r="H307" t="s">
        <v>1425</v>
      </c>
      <c r="I307" t="s">
        <v>1426</v>
      </c>
      <c r="J307" t="s">
        <v>1426</v>
      </c>
      <c r="O307">
        <v>479</v>
      </c>
      <c r="P307" t="str">
        <f t="shared" si="21"/>
        <v>ORTA SEHPA PİYANO MDF YUVARLAK</v>
      </c>
      <c r="Q307" s="1">
        <f t="shared" si="22"/>
        <v>9000</v>
      </c>
      <c r="R307" t="str">
        <f t="shared" si="23"/>
        <v>TL</v>
      </c>
      <c r="S307" t="str">
        <f t="shared" si="24"/>
        <v>MASA-SAND-SEHPA-ZİGON</v>
      </c>
      <c r="T307" t="str">
        <f t="shared" si="20"/>
        <v>mssz</v>
      </c>
    </row>
    <row r="308" spans="1:20" x14ac:dyDescent="0.25">
      <c r="A308" t="s">
        <v>1422</v>
      </c>
      <c r="B308">
        <v>469</v>
      </c>
      <c r="C308" t="s">
        <v>1879</v>
      </c>
      <c r="D308" t="s">
        <v>281</v>
      </c>
      <c r="E308">
        <v>5000</v>
      </c>
      <c r="F308" t="s">
        <v>0</v>
      </c>
      <c r="G308" t="s">
        <v>1424</v>
      </c>
      <c r="H308" t="s">
        <v>1425</v>
      </c>
      <c r="I308" t="s">
        <v>1426</v>
      </c>
      <c r="J308" t="s">
        <v>1426</v>
      </c>
      <c r="O308">
        <v>480</v>
      </c>
      <c r="P308" t="str">
        <f t="shared" si="21"/>
        <v xml:space="preserve">ORTA SEHPA POTA </v>
      </c>
      <c r="Q308" s="1">
        <f t="shared" si="22"/>
        <v>3500</v>
      </c>
      <c r="R308" t="str">
        <f t="shared" si="23"/>
        <v>TL</v>
      </c>
      <c r="S308" t="str">
        <f t="shared" si="24"/>
        <v>MASA-SAND-SEHPA-ZİGON</v>
      </c>
      <c r="T308" t="str">
        <f t="shared" si="20"/>
        <v>mssz</v>
      </c>
    </row>
    <row r="309" spans="1:20" x14ac:dyDescent="0.25">
      <c r="A309" t="s">
        <v>1422</v>
      </c>
      <c r="B309">
        <v>470</v>
      </c>
      <c r="C309" t="s">
        <v>1878</v>
      </c>
      <c r="D309" t="s">
        <v>282</v>
      </c>
      <c r="E309">
        <v>4000</v>
      </c>
      <c r="F309" t="s">
        <v>0</v>
      </c>
      <c r="G309" t="s">
        <v>1424</v>
      </c>
      <c r="H309" t="s">
        <v>1425</v>
      </c>
      <c r="I309" t="s">
        <v>1426</v>
      </c>
      <c r="J309" t="s">
        <v>1426</v>
      </c>
      <c r="O309">
        <v>481</v>
      </c>
      <c r="P309" t="str">
        <f t="shared" si="21"/>
        <v>ORTA SEHPA YAŞAM 4+1 ODABAŞI</v>
      </c>
      <c r="Q309" s="1">
        <f t="shared" si="22"/>
        <v>10000</v>
      </c>
      <c r="R309" t="str">
        <f t="shared" si="23"/>
        <v>TL</v>
      </c>
      <c r="S309" t="str">
        <f t="shared" si="24"/>
        <v>MASA-SAND-SEHPA-ZİGON</v>
      </c>
      <c r="T309" t="str">
        <f t="shared" si="20"/>
        <v>mssz</v>
      </c>
    </row>
    <row r="310" spans="1:20" x14ac:dyDescent="0.25">
      <c r="A310" t="s">
        <v>1422</v>
      </c>
      <c r="B310">
        <v>471</v>
      </c>
      <c r="C310" t="s">
        <v>1873</v>
      </c>
      <c r="D310" t="s">
        <v>283</v>
      </c>
      <c r="E310">
        <v>2600</v>
      </c>
      <c r="F310" t="s">
        <v>0</v>
      </c>
      <c r="G310" t="s">
        <v>1424</v>
      </c>
      <c r="H310" t="s">
        <v>1425</v>
      </c>
      <c r="I310" t="s">
        <v>1426</v>
      </c>
      <c r="J310" t="s">
        <v>1426</v>
      </c>
      <c r="O310">
        <v>483</v>
      </c>
      <c r="P310" t="str">
        <f t="shared" si="21"/>
        <v>SALINCAK ÇİFTLİ BİTATEK</v>
      </c>
      <c r="Q310" s="1">
        <f t="shared" si="22"/>
        <v>13000</v>
      </c>
      <c r="R310" t="str">
        <f t="shared" si="23"/>
        <v>TL</v>
      </c>
      <c r="S310" t="str">
        <f t="shared" si="24"/>
        <v>MOBİLYA</v>
      </c>
      <c r="T310" t="str">
        <f t="shared" si="20"/>
        <v>mobilya</v>
      </c>
    </row>
    <row r="311" spans="1:20" x14ac:dyDescent="0.25">
      <c r="A311" t="s">
        <v>1422</v>
      </c>
      <c r="B311">
        <v>472</v>
      </c>
      <c r="C311" t="s">
        <v>1872</v>
      </c>
      <c r="D311" t="s">
        <v>284</v>
      </c>
      <c r="E311">
        <v>1500</v>
      </c>
      <c r="F311" t="s">
        <v>0</v>
      </c>
      <c r="G311" t="s">
        <v>1424</v>
      </c>
      <c r="H311" t="s">
        <v>1425</v>
      </c>
      <c r="I311" t="s">
        <v>1426</v>
      </c>
      <c r="J311" t="s">
        <v>1426</v>
      </c>
      <c r="O311">
        <v>485</v>
      </c>
      <c r="P311" t="str">
        <f t="shared" si="21"/>
        <v>SALINCAK RATTAN ÇİTLİ</v>
      </c>
      <c r="Q311" s="1">
        <f t="shared" si="22"/>
        <v>14000</v>
      </c>
      <c r="R311" t="str">
        <f t="shared" si="23"/>
        <v>TL</v>
      </c>
      <c r="S311" t="str">
        <f t="shared" si="24"/>
        <v>MOBİLYA</v>
      </c>
      <c r="T311" t="str">
        <f t="shared" si="20"/>
        <v>mobilya</v>
      </c>
    </row>
    <row r="312" spans="1:20" x14ac:dyDescent="0.25">
      <c r="A312" t="s">
        <v>1422</v>
      </c>
      <c r="B312">
        <v>473</v>
      </c>
      <c r="C312" t="s">
        <v>1871</v>
      </c>
      <c r="D312" t="s">
        <v>285</v>
      </c>
      <c r="E312">
        <v>1500</v>
      </c>
      <c r="F312" t="s">
        <v>0</v>
      </c>
      <c r="G312" t="s">
        <v>1424</v>
      </c>
      <c r="H312" t="s">
        <v>1425</v>
      </c>
      <c r="I312" t="s">
        <v>1426</v>
      </c>
      <c r="J312" t="s">
        <v>1426</v>
      </c>
      <c r="O312">
        <v>487</v>
      </c>
      <c r="P312" t="str">
        <f t="shared" si="21"/>
        <v>SALINCAK TEKLİ BİTATEK</v>
      </c>
      <c r="Q312" s="1">
        <f t="shared" si="22"/>
        <v>7000</v>
      </c>
      <c r="R312" t="str">
        <f t="shared" si="23"/>
        <v>TL</v>
      </c>
      <c r="S312" t="str">
        <f t="shared" si="24"/>
        <v>MOBİLYA</v>
      </c>
      <c r="T312" t="str">
        <f t="shared" si="20"/>
        <v>mobilya</v>
      </c>
    </row>
    <row r="313" spans="1:20" x14ac:dyDescent="0.25">
      <c r="A313" t="s">
        <v>1422</v>
      </c>
      <c r="B313">
        <v>474</v>
      </c>
      <c r="C313" t="s">
        <v>1870</v>
      </c>
      <c r="D313" t="s">
        <v>286</v>
      </c>
      <c r="E313">
        <v>5000</v>
      </c>
      <c r="F313" t="s">
        <v>0</v>
      </c>
      <c r="G313" t="s">
        <v>1424</v>
      </c>
      <c r="H313" t="s">
        <v>1425</v>
      </c>
      <c r="I313" t="s">
        <v>1426</v>
      </c>
      <c r="J313" t="s">
        <v>1426</v>
      </c>
      <c r="O313">
        <v>491</v>
      </c>
      <c r="P313" t="str">
        <f t="shared" si="21"/>
        <v>SANDALYE POLO BOHEM</v>
      </c>
      <c r="Q313" s="1">
        <f t="shared" si="22"/>
        <v>4500</v>
      </c>
      <c r="R313" t="str">
        <f t="shared" si="23"/>
        <v>TL</v>
      </c>
      <c r="S313" t="str">
        <f t="shared" si="24"/>
        <v>MASA-SAND-SEHPA-ZİGON</v>
      </c>
      <c r="T313" t="str">
        <f t="shared" si="20"/>
        <v>mssz</v>
      </c>
    </row>
    <row r="314" spans="1:20" x14ac:dyDescent="0.25">
      <c r="A314" t="s">
        <v>1422</v>
      </c>
      <c r="B314">
        <v>475</v>
      </c>
      <c r="C314" t="s">
        <v>1869</v>
      </c>
      <c r="D314" t="s">
        <v>287</v>
      </c>
      <c r="E314">
        <v>4000</v>
      </c>
      <c r="F314" t="s">
        <v>0</v>
      </c>
      <c r="G314" t="s">
        <v>1424</v>
      </c>
      <c r="H314" t="s">
        <v>1425</v>
      </c>
      <c r="I314" t="s">
        <v>1426</v>
      </c>
      <c r="J314" t="s">
        <v>1426</v>
      </c>
      <c r="O314">
        <v>527</v>
      </c>
      <c r="P314" t="str">
        <f t="shared" si="21"/>
        <v>SANDALYE LİYA KAPİTONELİ AS HOME</v>
      </c>
      <c r="Q314" s="1">
        <f t="shared" si="22"/>
        <v>3700</v>
      </c>
      <c r="R314" t="str">
        <f t="shared" si="23"/>
        <v>TL</v>
      </c>
      <c r="S314" t="str">
        <f t="shared" si="24"/>
        <v>MASA-SAND-SEHPA-ZİGON</v>
      </c>
      <c r="T314" t="str">
        <f t="shared" si="20"/>
        <v>mssz</v>
      </c>
    </row>
    <row r="315" spans="1:20" x14ac:dyDescent="0.25">
      <c r="A315" t="s">
        <v>1422</v>
      </c>
      <c r="B315">
        <v>476</v>
      </c>
      <c r="C315" t="s">
        <v>1868</v>
      </c>
      <c r="D315" t="s">
        <v>288</v>
      </c>
      <c r="E315">
        <v>4000</v>
      </c>
      <c r="F315" t="s">
        <v>0</v>
      </c>
      <c r="G315" t="s">
        <v>1424</v>
      </c>
      <c r="H315" t="s">
        <v>1425</v>
      </c>
      <c r="I315" t="s">
        <v>1426</v>
      </c>
      <c r="J315" t="s">
        <v>1426</v>
      </c>
      <c r="O315">
        <v>528</v>
      </c>
      <c r="P315" t="str">
        <f t="shared" si="21"/>
        <v>SANDALYE LOTUS ODABAŞI</v>
      </c>
      <c r="Q315" s="1">
        <f t="shared" si="22"/>
        <v>3000</v>
      </c>
      <c r="R315" t="str">
        <f t="shared" si="23"/>
        <v>TL</v>
      </c>
      <c r="S315" t="str">
        <f t="shared" si="24"/>
        <v>MASA-SAND-SEHPA-ZİGON</v>
      </c>
      <c r="T315" t="str">
        <f t="shared" si="20"/>
        <v>mssz</v>
      </c>
    </row>
    <row r="316" spans="1:20" x14ac:dyDescent="0.25">
      <c r="A316" t="s">
        <v>1422</v>
      </c>
      <c r="B316">
        <v>477</v>
      </c>
      <c r="C316" t="s">
        <v>1867</v>
      </c>
      <c r="D316" t="s">
        <v>289</v>
      </c>
      <c r="E316">
        <v>4000</v>
      </c>
      <c r="F316" t="s">
        <v>0</v>
      </c>
      <c r="G316" t="s">
        <v>1424</v>
      </c>
      <c r="H316" t="s">
        <v>1425</v>
      </c>
      <c r="I316" t="s">
        <v>1426</v>
      </c>
      <c r="J316" t="s">
        <v>1426</v>
      </c>
      <c r="O316">
        <v>529</v>
      </c>
      <c r="P316" t="str">
        <f t="shared" si="21"/>
        <v>SANDALYE OLİVA FYZ</v>
      </c>
      <c r="Q316" s="1">
        <f t="shared" si="22"/>
        <v>4200</v>
      </c>
      <c r="R316" t="str">
        <f t="shared" si="23"/>
        <v>TL</v>
      </c>
      <c r="S316" t="str">
        <f t="shared" si="24"/>
        <v>MASA-SAND-SEHPA-ZİGON</v>
      </c>
      <c r="T316" t="str">
        <f t="shared" ref="T316:T379" si="25">IF(S316="KEA","kea",IF(S316="MOBİLYA","mobilya",IF(S316="TÜP","tup",IF(S316="MASA-SAND-SEHPA-ZİGON","mssz",IF(S316="ENDÜSTRİYEL","endustriyel",IF(S316="YEDEK PARÇA","diger",""))))))</f>
        <v>mssz</v>
      </c>
    </row>
    <row r="317" spans="1:20" x14ac:dyDescent="0.25">
      <c r="A317" t="s">
        <v>1422</v>
      </c>
      <c r="B317">
        <v>478</v>
      </c>
      <c r="C317" t="s">
        <v>1866</v>
      </c>
      <c r="D317" t="s">
        <v>290</v>
      </c>
      <c r="E317">
        <v>5000</v>
      </c>
      <c r="F317" t="s">
        <v>0</v>
      </c>
      <c r="G317" t="s">
        <v>1424</v>
      </c>
      <c r="H317" t="s">
        <v>1425</v>
      </c>
      <c r="I317" t="s">
        <v>1426</v>
      </c>
      <c r="J317" t="s">
        <v>1426</v>
      </c>
      <c r="O317">
        <v>532</v>
      </c>
      <c r="P317" t="str">
        <f t="shared" ref="P317:P380" si="26">IFERROR(VLOOKUP(O317,$M:$N,2,0), VLOOKUP(O317,$B:$D,3,0))</f>
        <v>SANDALYE PLASTİK BAMBU CAPPUCİNO (ATLANTİS)</v>
      </c>
      <c r="Q317" s="1">
        <f t="shared" ref="Q317:Q380" si="27">VLOOKUP(O317,$B:$E,4,0)*2</f>
        <v>1450</v>
      </c>
      <c r="R317" t="str">
        <f t="shared" ref="R317:R380" si="28">VLOOKUP(O317,$B:$F,5,0)</f>
        <v>TL</v>
      </c>
      <c r="S317" t="str">
        <f t="shared" ref="S317:S380" si="29">VLOOKUP(O317,$B:$G,6,0)</f>
        <v>MOBİLYA</v>
      </c>
      <c r="T317" t="str">
        <f t="shared" si="25"/>
        <v>mobilya</v>
      </c>
    </row>
    <row r="318" spans="1:20" x14ac:dyDescent="0.25">
      <c r="A318" t="s">
        <v>1422</v>
      </c>
      <c r="B318">
        <v>479</v>
      </c>
      <c r="C318" t="s">
        <v>1864</v>
      </c>
      <c r="D318" t="s">
        <v>291</v>
      </c>
      <c r="E318">
        <v>4500</v>
      </c>
      <c r="F318" t="s">
        <v>0</v>
      </c>
      <c r="G318" t="s">
        <v>1424</v>
      </c>
      <c r="H318" t="s">
        <v>1425</v>
      </c>
      <c r="I318" t="s">
        <v>1426</v>
      </c>
      <c r="J318" t="s">
        <v>1426</v>
      </c>
      <c r="O318">
        <v>533</v>
      </c>
      <c r="P318" t="str">
        <f t="shared" si="26"/>
        <v>SANDALYE PLASTİK BAMBU KAHVE (ATLANTİS)</v>
      </c>
      <c r="Q318" s="1">
        <f t="shared" si="27"/>
        <v>1450</v>
      </c>
      <c r="R318" t="str">
        <f t="shared" si="28"/>
        <v>TL</v>
      </c>
      <c r="S318" t="str">
        <f t="shared" si="29"/>
        <v>MOBİLYA</v>
      </c>
      <c r="T318" t="str">
        <f t="shared" si="25"/>
        <v>mobilya</v>
      </c>
    </row>
    <row r="319" spans="1:20" x14ac:dyDescent="0.25">
      <c r="A319" t="s">
        <v>1422</v>
      </c>
      <c r="B319">
        <v>480</v>
      </c>
      <c r="C319" t="s">
        <v>1863</v>
      </c>
      <c r="D319" t="s">
        <v>292</v>
      </c>
      <c r="E319">
        <v>1750</v>
      </c>
      <c r="F319" t="s">
        <v>0</v>
      </c>
      <c r="G319" t="s">
        <v>1424</v>
      </c>
      <c r="H319" t="s">
        <v>1425</v>
      </c>
      <c r="I319" t="s">
        <v>1426</v>
      </c>
      <c r="J319" t="s">
        <v>1426</v>
      </c>
      <c r="O319">
        <v>534</v>
      </c>
      <c r="P319" t="str">
        <f t="shared" si="26"/>
        <v>SANDALYE PLASTİK BERGAMA</v>
      </c>
      <c r="Q319" s="1">
        <f t="shared" si="27"/>
        <v>700</v>
      </c>
      <c r="R319" t="str">
        <f t="shared" si="28"/>
        <v>TL</v>
      </c>
      <c r="S319" t="str">
        <f t="shared" si="29"/>
        <v>MOBİLYA</v>
      </c>
      <c r="T319" t="str">
        <f t="shared" si="25"/>
        <v>mobilya</v>
      </c>
    </row>
    <row r="320" spans="1:20" x14ac:dyDescent="0.25">
      <c r="A320" t="s">
        <v>1422</v>
      </c>
      <c r="B320">
        <v>481</v>
      </c>
      <c r="C320" t="s">
        <v>1862</v>
      </c>
      <c r="D320" t="s">
        <v>293</v>
      </c>
      <c r="E320">
        <v>5000</v>
      </c>
      <c r="F320" t="s">
        <v>0</v>
      </c>
      <c r="G320" t="s">
        <v>1424</v>
      </c>
      <c r="H320" t="s">
        <v>1425</v>
      </c>
      <c r="I320" t="s">
        <v>1426</v>
      </c>
      <c r="J320" t="s">
        <v>1426</v>
      </c>
      <c r="O320">
        <v>540</v>
      </c>
      <c r="P320" t="str">
        <f t="shared" si="26"/>
        <v>SANDALYE PLASTİK NAPOLİ LÜKS</v>
      </c>
      <c r="Q320" s="1">
        <f t="shared" si="27"/>
        <v>1250</v>
      </c>
      <c r="R320" t="str">
        <f t="shared" si="28"/>
        <v>TL</v>
      </c>
      <c r="S320" t="str">
        <f t="shared" si="29"/>
        <v>MOBİLYA</v>
      </c>
      <c r="T320" t="str">
        <f t="shared" si="25"/>
        <v>mobilya</v>
      </c>
    </row>
    <row r="321" spans="1:20" x14ac:dyDescent="0.25">
      <c r="A321" t="s">
        <v>1422</v>
      </c>
      <c r="B321">
        <v>483</v>
      </c>
      <c r="C321" t="s">
        <v>1803</v>
      </c>
      <c r="D321" t="s">
        <v>294</v>
      </c>
      <c r="E321">
        <v>6500</v>
      </c>
      <c r="F321" t="s">
        <v>0</v>
      </c>
      <c r="G321" t="s">
        <v>1560</v>
      </c>
      <c r="H321" t="s">
        <v>1425</v>
      </c>
      <c r="I321" t="s">
        <v>1426</v>
      </c>
      <c r="J321" t="s">
        <v>1426</v>
      </c>
      <c r="O321">
        <v>542</v>
      </c>
      <c r="P321" t="str">
        <f t="shared" si="26"/>
        <v>SANDALYE PLASTİK OSCAR METAL AYAKLI</v>
      </c>
      <c r="Q321" s="1">
        <f t="shared" si="27"/>
        <v>1100</v>
      </c>
      <c r="R321" t="str">
        <f t="shared" si="28"/>
        <v>TL</v>
      </c>
      <c r="S321" t="str">
        <f t="shared" si="29"/>
        <v>MOBİLYA</v>
      </c>
      <c r="T321" t="str">
        <f t="shared" si="25"/>
        <v>mobilya</v>
      </c>
    </row>
    <row r="322" spans="1:20" x14ac:dyDescent="0.25">
      <c r="A322" t="s">
        <v>1422</v>
      </c>
      <c r="B322">
        <v>485</v>
      </c>
      <c r="C322" t="s">
        <v>1802</v>
      </c>
      <c r="D322" t="s">
        <v>295</v>
      </c>
      <c r="E322">
        <v>7000</v>
      </c>
      <c r="F322" t="s">
        <v>0</v>
      </c>
      <c r="G322" t="s">
        <v>1560</v>
      </c>
      <c r="H322" t="s">
        <v>1425</v>
      </c>
      <c r="I322" t="s">
        <v>1426</v>
      </c>
      <c r="J322" t="s">
        <v>1426</v>
      </c>
      <c r="O322">
        <v>547</v>
      </c>
      <c r="P322" t="str">
        <f t="shared" si="26"/>
        <v>SANDALYE PLASTİK RATTAN  HİLTON</v>
      </c>
      <c r="Q322" s="1">
        <f t="shared" si="27"/>
        <v>1400</v>
      </c>
      <c r="R322" t="str">
        <f t="shared" si="28"/>
        <v>TL</v>
      </c>
      <c r="S322" t="str">
        <f t="shared" si="29"/>
        <v>MOBİLYA</v>
      </c>
      <c r="T322" t="str">
        <f t="shared" si="25"/>
        <v>mobilya</v>
      </c>
    </row>
    <row r="323" spans="1:20" x14ac:dyDescent="0.25">
      <c r="A323" t="s">
        <v>1422</v>
      </c>
      <c r="B323">
        <v>487</v>
      </c>
      <c r="C323" t="s">
        <v>1801</v>
      </c>
      <c r="D323" t="s">
        <v>296</v>
      </c>
      <c r="E323">
        <v>3500</v>
      </c>
      <c r="F323" t="s">
        <v>0</v>
      </c>
      <c r="G323" t="s">
        <v>1560</v>
      </c>
      <c r="H323" t="s">
        <v>1425</v>
      </c>
      <c r="I323" t="s">
        <v>1426</v>
      </c>
      <c r="J323" t="s">
        <v>1426</v>
      </c>
      <c r="O323">
        <v>548</v>
      </c>
      <c r="P323" t="str">
        <f t="shared" si="26"/>
        <v>SANDALYE PLASTİK RATTAN HİLTON CAPPUCİNO</v>
      </c>
      <c r="Q323" s="1">
        <f t="shared" si="27"/>
        <v>1450</v>
      </c>
      <c r="R323" t="str">
        <f t="shared" si="28"/>
        <v>TL</v>
      </c>
      <c r="S323" t="str">
        <f t="shared" si="29"/>
        <v>MOBİLYA</v>
      </c>
      <c r="T323" t="str">
        <f t="shared" si="25"/>
        <v>mobilya</v>
      </c>
    </row>
    <row r="324" spans="1:20" x14ac:dyDescent="0.25">
      <c r="A324" t="s">
        <v>1422</v>
      </c>
      <c r="B324">
        <v>489</v>
      </c>
      <c r="C324" t="s">
        <v>1797</v>
      </c>
      <c r="D324" t="s">
        <v>297</v>
      </c>
      <c r="E324">
        <v>1800</v>
      </c>
      <c r="F324" t="s">
        <v>0</v>
      </c>
      <c r="G324" t="s">
        <v>1424</v>
      </c>
      <c r="H324" t="s">
        <v>1425</v>
      </c>
      <c r="I324" t="s">
        <v>1426</v>
      </c>
      <c r="J324" t="s">
        <v>1426</v>
      </c>
      <c r="O324">
        <v>549</v>
      </c>
      <c r="P324" t="str">
        <f t="shared" si="26"/>
        <v>SANDALYE PLASTİK RATTAN PARİS</v>
      </c>
      <c r="Q324" s="1">
        <f t="shared" si="27"/>
        <v>1500</v>
      </c>
      <c r="R324" t="str">
        <f t="shared" si="28"/>
        <v>TL</v>
      </c>
      <c r="S324" t="str">
        <f t="shared" si="29"/>
        <v>MOBİLYA</v>
      </c>
      <c r="T324" t="str">
        <f t="shared" si="25"/>
        <v>mobilya</v>
      </c>
    </row>
    <row r="325" spans="1:20" x14ac:dyDescent="0.25">
      <c r="A325" t="s">
        <v>1422</v>
      </c>
      <c r="B325">
        <v>490</v>
      </c>
      <c r="C325" t="s">
        <v>1789</v>
      </c>
      <c r="D325" t="s">
        <v>298</v>
      </c>
      <c r="E325">
        <v>1800</v>
      </c>
      <c r="F325" t="s">
        <v>0</v>
      </c>
      <c r="G325" t="s">
        <v>1424</v>
      </c>
      <c r="H325" t="s">
        <v>1425</v>
      </c>
      <c r="I325" t="s">
        <v>1426</v>
      </c>
      <c r="J325" t="s">
        <v>1426</v>
      </c>
      <c r="O325">
        <v>550</v>
      </c>
      <c r="P325" t="str">
        <f t="shared" si="26"/>
        <v>SANDALYE SİLVA FYZ</v>
      </c>
      <c r="Q325" s="1">
        <f t="shared" si="27"/>
        <v>4500</v>
      </c>
      <c r="R325" t="str">
        <f t="shared" si="28"/>
        <v>TL</v>
      </c>
      <c r="S325" t="str">
        <f t="shared" si="29"/>
        <v>MASA-SAND-SEHPA-ZİGON</v>
      </c>
      <c r="T325" t="str">
        <f t="shared" si="25"/>
        <v>mssz</v>
      </c>
    </row>
    <row r="326" spans="1:20" x14ac:dyDescent="0.25">
      <c r="A326" t="s">
        <v>1422</v>
      </c>
      <c r="B326">
        <v>491</v>
      </c>
      <c r="C326" t="s">
        <v>1720</v>
      </c>
      <c r="D326" t="s">
        <v>299</v>
      </c>
      <c r="E326">
        <v>2250</v>
      </c>
      <c r="F326" t="s">
        <v>0</v>
      </c>
      <c r="G326" t="s">
        <v>1424</v>
      </c>
      <c r="H326" t="s">
        <v>1425</v>
      </c>
      <c r="I326" t="s">
        <v>1426</v>
      </c>
      <c r="J326" t="s">
        <v>1426</v>
      </c>
      <c r="O326">
        <v>551</v>
      </c>
      <c r="P326" t="str">
        <f t="shared" si="26"/>
        <v>SANDALYE TELLİ</v>
      </c>
      <c r="Q326" s="1">
        <f t="shared" si="27"/>
        <v>1400</v>
      </c>
      <c r="R326" t="str">
        <f t="shared" si="28"/>
        <v>TL</v>
      </c>
      <c r="S326" t="str">
        <f t="shared" si="29"/>
        <v>MASA-SAND-SEHPA-ZİGON</v>
      </c>
      <c r="T326" t="str">
        <f t="shared" si="25"/>
        <v>mssz</v>
      </c>
    </row>
    <row r="327" spans="1:20" x14ac:dyDescent="0.25">
      <c r="A327" t="s">
        <v>1422</v>
      </c>
      <c r="B327">
        <v>492</v>
      </c>
      <c r="C327" t="s">
        <v>1777</v>
      </c>
      <c r="D327" t="s">
        <v>300</v>
      </c>
      <c r="E327">
        <v>1350</v>
      </c>
      <c r="F327" t="s">
        <v>0</v>
      </c>
      <c r="G327" t="s">
        <v>1424</v>
      </c>
      <c r="H327" t="s">
        <v>1425</v>
      </c>
      <c r="I327" t="s">
        <v>1426</v>
      </c>
      <c r="J327" t="s">
        <v>1426</v>
      </c>
      <c r="O327">
        <v>552</v>
      </c>
      <c r="P327" t="str">
        <f t="shared" si="26"/>
        <v>SANDALYE VALE FYZ</v>
      </c>
      <c r="Q327" s="1">
        <f t="shared" si="27"/>
        <v>5400</v>
      </c>
      <c r="R327" t="str">
        <f t="shared" si="28"/>
        <v>TL</v>
      </c>
      <c r="S327" t="str">
        <f t="shared" si="29"/>
        <v>MASA-SAND-SEHPA-ZİGON</v>
      </c>
      <c r="T327" t="str">
        <f t="shared" si="25"/>
        <v>mssz</v>
      </c>
    </row>
    <row r="328" spans="1:20" x14ac:dyDescent="0.25">
      <c r="A328" t="s">
        <v>1422</v>
      </c>
      <c r="B328">
        <v>502</v>
      </c>
      <c r="C328" t="s">
        <v>1765</v>
      </c>
      <c r="D328" t="s">
        <v>828</v>
      </c>
      <c r="E328">
        <v>1400</v>
      </c>
      <c r="F328" t="s">
        <v>0</v>
      </c>
      <c r="G328" t="s">
        <v>1424</v>
      </c>
      <c r="H328" t="s">
        <v>1425</v>
      </c>
      <c r="I328" t="s">
        <v>1426</v>
      </c>
      <c r="J328" t="s">
        <v>1426</v>
      </c>
      <c r="O328">
        <v>553</v>
      </c>
      <c r="P328" t="str">
        <f t="shared" si="26"/>
        <v xml:space="preserve">SANDALYE VENEDİK </v>
      </c>
      <c r="Q328" s="1">
        <f t="shared" si="27"/>
        <v>1450</v>
      </c>
      <c r="R328" t="str">
        <f t="shared" si="28"/>
        <v>TL</v>
      </c>
      <c r="S328" t="str">
        <f t="shared" si="29"/>
        <v>MASA-SAND-SEHPA-ZİGON</v>
      </c>
      <c r="T328" t="str">
        <f t="shared" si="25"/>
        <v>mssz</v>
      </c>
    </row>
    <row r="329" spans="1:20" x14ac:dyDescent="0.25">
      <c r="A329" t="s">
        <v>1422</v>
      </c>
      <c r="B329">
        <v>513</v>
      </c>
      <c r="C329" t="s">
        <v>1761</v>
      </c>
      <c r="D329" t="s">
        <v>301</v>
      </c>
      <c r="E329">
        <v>1500</v>
      </c>
      <c r="F329" t="s">
        <v>0</v>
      </c>
      <c r="G329" t="s">
        <v>1424</v>
      </c>
      <c r="H329" t="s">
        <v>1425</v>
      </c>
      <c r="I329" t="s">
        <v>1426</v>
      </c>
      <c r="J329" t="s">
        <v>1426</v>
      </c>
      <c r="O329">
        <v>554</v>
      </c>
      <c r="P329" t="str">
        <f t="shared" si="26"/>
        <v>SANDALYE VİLLA FYZ</v>
      </c>
      <c r="Q329" s="1">
        <f t="shared" si="27"/>
        <v>4500</v>
      </c>
      <c r="R329" t="str">
        <f t="shared" si="28"/>
        <v>TL</v>
      </c>
      <c r="S329" t="str">
        <f t="shared" si="29"/>
        <v>MASA-SAND-SEHPA-ZİGON</v>
      </c>
      <c r="T329" t="str">
        <f t="shared" si="25"/>
        <v>mssz</v>
      </c>
    </row>
    <row r="330" spans="1:20" x14ac:dyDescent="0.25">
      <c r="A330" t="s">
        <v>1422</v>
      </c>
      <c r="B330">
        <v>526</v>
      </c>
      <c r="C330" t="s">
        <v>1743</v>
      </c>
      <c r="D330" t="s">
        <v>302</v>
      </c>
      <c r="E330">
        <v>1800</v>
      </c>
      <c r="F330" t="s">
        <v>0</v>
      </c>
      <c r="G330" t="s">
        <v>1424</v>
      </c>
      <c r="H330" t="s">
        <v>1425</v>
      </c>
      <c r="I330" t="s">
        <v>1426</v>
      </c>
      <c r="J330" t="s">
        <v>1426</v>
      </c>
      <c r="O330">
        <v>555</v>
      </c>
      <c r="P330" t="str">
        <f t="shared" si="26"/>
        <v>SEKRETER KOLTUĞU ALYA</v>
      </c>
      <c r="Q330" s="1">
        <f t="shared" si="27"/>
        <v>10200</v>
      </c>
      <c r="R330" t="str">
        <f t="shared" si="28"/>
        <v>TL</v>
      </c>
      <c r="S330" t="str">
        <f t="shared" si="29"/>
        <v>MOBİLYA</v>
      </c>
      <c r="T330" t="str">
        <f t="shared" si="25"/>
        <v>mobilya</v>
      </c>
    </row>
    <row r="331" spans="1:20" x14ac:dyDescent="0.25">
      <c r="A331" t="s">
        <v>1422</v>
      </c>
      <c r="B331">
        <v>527</v>
      </c>
      <c r="C331" t="s">
        <v>1737</v>
      </c>
      <c r="D331" t="s">
        <v>830</v>
      </c>
      <c r="E331">
        <v>1850</v>
      </c>
      <c r="F331" t="s">
        <v>0</v>
      </c>
      <c r="G331" t="s">
        <v>1424</v>
      </c>
      <c r="H331" t="s">
        <v>1425</v>
      </c>
      <c r="I331" t="s">
        <v>1426</v>
      </c>
      <c r="J331" t="s">
        <v>1426</v>
      </c>
      <c r="O331">
        <v>556</v>
      </c>
      <c r="P331" t="str">
        <f t="shared" si="26"/>
        <v>SEKRETER KOLTUĞU BELLO</v>
      </c>
      <c r="Q331" s="1">
        <f t="shared" si="27"/>
        <v>3750</v>
      </c>
      <c r="R331" t="str">
        <f t="shared" si="28"/>
        <v>TL</v>
      </c>
      <c r="S331" t="str">
        <f t="shared" si="29"/>
        <v>MOBİLYA</v>
      </c>
      <c r="T331" t="str">
        <f t="shared" si="25"/>
        <v>mobilya</v>
      </c>
    </row>
    <row r="332" spans="1:20" x14ac:dyDescent="0.25">
      <c r="A332" t="s">
        <v>1422</v>
      </c>
      <c r="B332">
        <v>528</v>
      </c>
      <c r="C332" t="s">
        <v>1736</v>
      </c>
      <c r="D332" t="s">
        <v>303</v>
      </c>
      <c r="E332">
        <v>1500</v>
      </c>
      <c r="F332" t="s">
        <v>0</v>
      </c>
      <c r="G332" t="s">
        <v>1424</v>
      </c>
      <c r="H332" t="s">
        <v>1425</v>
      </c>
      <c r="I332" t="s">
        <v>1426</v>
      </c>
      <c r="J332" t="s">
        <v>1426</v>
      </c>
      <c r="O332">
        <v>557</v>
      </c>
      <c r="P332" t="str">
        <f t="shared" si="26"/>
        <v>SEKRETER KOLTUĞU ÇİZGİ MÜDÜR</v>
      </c>
      <c r="Q332" s="1">
        <f t="shared" si="27"/>
        <v>7200</v>
      </c>
      <c r="R332" t="str">
        <f t="shared" si="28"/>
        <v>TL</v>
      </c>
      <c r="S332" t="str">
        <f t="shared" si="29"/>
        <v>MOBİLYA</v>
      </c>
      <c r="T332" t="str">
        <f t="shared" si="25"/>
        <v>mobilya</v>
      </c>
    </row>
    <row r="333" spans="1:20" x14ac:dyDescent="0.25">
      <c r="A333" t="s">
        <v>1422</v>
      </c>
      <c r="B333">
        <v>529</v>
      </c>
      <c r="C333" t="s">
        <v>1735</v>
      </c>
      <c r="D333" t="s">
        <v>304</v>
      </c>
      <c r="E333">
        <v>2100</v>
      </c>
      <c r="F333" t="s">
        <v>0</v>
      </c>
      <c r="G333" t="s">
        <v>1424</v>
      </c>
      <c r="H333" t="s">
        <v>1425</v>
      </c>
      <c r="I333" t="s">
        <v>1426</v>
      </c>
      <c r="J333" t="s">
        <v>1426</v>
      </c>
      <c r="O333">
        <v>558</v>
      </c>
      <c r="P333" t="str">
        <f t="shared" si="26"/>
        <v>SEKRETER KOLTUĞU ERCİYES MÜDÜR</v>
      </c>
      <c r="Q333" s="1">
        <f t="shared" si="27"/>
        <v>0</v>
      </c>
      <c r="R333" t="str">
        <f t="shared" si="28"/>
        <v>TL</v>
      </c>
      <c r="S333" t="str">
        <f t="shared" si="29"/>
        <v>MOBİLYA</v>
      </c>
      <c r="T333" t="str">
        <f t="shared" si="25"/>
        <v>mobilya</v>
      </c>
    </row>
    <row r="334" spans="1:20" x14ac:dyDescent="0.25">
      <c r="A334" t="s">
        <v>1422</v>
      </c>
      <c r="B334">
        <v>532</v>
      </c>
      <c r="C334" t="s">
        <v>1734</v>
      </c>
      <c r="D334" t="s">
        <v>305</v>
      </c>
      <c r="E334">
        <v>725</v>
      </c>
      <c r="F334" t="s">
        <v>0</v>
      </c>
      <c r="G334" t="s">
        <v>1560</v>
      </c>
      <c r="H334" t="s">
        <v>1425</v>
      </c>
      <c r="I334" t="s">
        <v>1426</v>
      </c>
      <c r="J334" t="s">
        <v>1426</v>
      </c>
      <c r="O334">
        <v>559</v>
      </c>
      <c r="P334" t="str">
        <f t="shared" si="26"/>
        <v>SEKRETER KOLTUĞU EVO HAREKETLİ MÜDÜR</v>
      </c>
      <c r="Q334" s="1">
        <f t="shared" si="27"/>
        <v>4950</v>
      </c>
      <c r="R334" t="str">
        <f t="shared" si="28"/>
        <v>TL</v>
      </c>
      <c r="S334" t="str">
        <f t="shared" si="29"/>
        <v>MOBİLYA</v>
      </c>
      <c r="T334" t="str">
        <f t="shared" si="25"/>
        <v>mobilya</v>
      </c>
    </row>
    <row r="335" spans="1:20" x14ac:dyDescent="0.25">
      <c r="A335" t="s">
        <v>1422</v>
      </c>
      <c r="B335">
        <v>533</v>
      </c>
      <c r="C335" t="s">
        <v>1733</v>
      </c>
      <c r="D335" t="s">
        <v>306</v>
      </c>
      <c r="E335">
        <v>725</v>
      </c>
      <c r="F335" t="s">
        <v>0</v>
      </c>
      <c r="G335" t="s">
        <v>1560</v>
      </c>
      <c r="H335" t="s">
        <v>1425</v>
      </c>
      <c r="I335" t="s">
        <v>1426</v>
      </c>
      <c r="J335" t="s">
        <v>1426</v>
      </c>
      <c r="O335">
        <v>560</v>
      </c>
      <c r="P335" t="str">
        <f t="shared" si="26"/>
        <v>SEKRETER KOLTUĞU KONFOR</v>
      </c>
      <c r="Q335" s="1">
        <f t="shared" si="27"/>
        <v>0</v>
      </c>
      <c r="R335" t="str">
        <f t="shared" si="28"/>
        <v>TL</v>
      </c>
      <c r="S335" t="str">
        <f t="shared" si="29"/>
        <v>MOBİLYA</v>
      </c>
      <c r="T335" t="str">
        <f t="shared" si="25"/>
        <v>mobilya</v>
      </c>
    </row>
    <row r="336" spans="1:20" x14ac:dyDescent="0.25">
      <c r="A336" t="s">
        <v>1422</v>
      </c>
      <c r="B336">
        <v>534</v>
      </c>
      <c r="C336" t="s">
        <v>1732</v>
      </c>
      <c r="D336" t="s">
        <v>307</v>
      </c>
      <c r="E336">
        <v>350</v>
      </c>
      <c r="F336" t="s">
        <v>0</v>
      </c>
      <c r="G336" t="s">
        <v>1560</v>
      </c>
      <c r="H336" t="s">
        <v>1425</v>
      </c>
      <c r="I336" t="s">
        <v>1426</v>
      </c>
      <c r="J336" t="s">
        <v>1426</v>
      </c>
      <c r="O336">
        <v>561</v>
      </c>
      <c r="P336" t="str">
        <f t="shared" si="26"/>
        <v>SEKRETER KOLTUĞU MÜDÜR EKO</v>
      </c>
      <c r="Q336" s="1">
        <f t="shared" si="27"/>
        <v>0</v>
      </c>
      <c r="R336" t="str">
        <f t="shared" si="28"/>
        <v>TL</v>
      </c>
      <c r="S336" t="str">
        <f t="shared" si="29"/>
        <v>MOBİLYA</v>
      </c>
      <c r="T336" t="str">
        <f t="shared" si="25"/>
        <v>mobilya</v>
      </c>
    </row>
    <row r="337" spans="1:20" x14ac:dyDescent="0.25">
      <c r="A337" t="s">
        <v>1422</v>
      </c>
      <c r="B337">
        <v>535</v>
      </c>
      <c r="C337" t="s">
        <v>1731</v>
      </c>
      <c r="D337" t="s">
        <v>308</v>
      </c>
      <c r="E337">
        <v>330</v>
      </c>
      <c r="F337" t="s">
        <v>0</v>
      </c>
      <c r="G337" t="s">
        <v>1560</v>
      </c>
      <c r="H337" t="s">
        <v>1425</v>
      </c>
      <c r="I337" t="s">
        <v>1426</v>
      </c>
      <c r="J337" t="s">
        <v>1426</v>
      </c>
      <c r="O337">
        <v>562</v>
      </c>
      <c r="P337" t="str">
        <f t="shared" si="26"/>
        <v>SEKRETER KOLTUĞU PİRAMİT</v>
      </c>
      <c r="Q337" s="1">
        <f t="shared" si="27"/>
        <v>7500</v>
      </c>
      <c r="R337" t="str">
        <f t="shared" si="28"/>
        <v>TL</v>
      </c>
      <c r="S337" t="str">
        <f t="shared" si="29"/>
        <v>MOBİLYA</v>
      </c>
      <c r="T337" t="str">
        <f t="shared" si="25"/>
        <v>mobilya</v>
      </c>
    </row>
    <row r="338" spans="1:20" x14ac:dyDescent="0.25">
      <c r="A338" t="s">
        <v>1422</v>
      </c>
      <c r="B338">
        <v>540</v>
      </c>
      <c r="C338" t="s">
        <v>1730</v>
      </c>
      <c r="D338" t="s">
        <v>309</v>
      </c>
      <c r="E338">
        <v>625</v>
      </c>
      <c r="F338" t="s">
        <v>0</v>
      </c>
      <c r="G338" t="s">
        <v>1560</v>
      </c>
      <c r="H338" t="s">
        <v>1425</v>
      </c>
      <c r="I338" t="s">
        <v>1426</v>
      </c>
      <c r="J338" t="s">
        <v>1426</v>
      </c>
      <c r="O338">
        <v>563</v>
      </c>
      <c r="P338" t="str">
        <f t="shared" si="26"/>
        <v>SEKRETER KOLTUĞU EVO SABİT BAŞLIK</v>
      </c>
      <c r="Q338" s="1">
        <f t="shared" si="27"/>
        <v>4950</v>
      </c>
      <c r="R338" t="str">
        <f t="shared" si="28"/>
        <v>TL</v>
      </c>
      <c r="S338" t="str">
        <f t="shared" si="29"/>
        <v>MOBİLYA</v>
      </c>
      <c r="T338" t="str">
        <f t="shared" si="25"/>
        <v>mobilya</v>
      </c>
    </row>
    <row r="339" spans="1:20" x14ac:dyDescent="0.25">
      <c r="A339" t="s">
        <v>1422</v>
      </c>
      <c r="B339">
        <v>541</v>
      </c>
      <c r="C339" t="s">
        <v>1729</v>
      </c>
      <c r="D339" t="s">
        <v>310</v>
      </c>
      <c r="E339">
        <v>625</v>
      </c>
      <c r="F339" t="s">
        <v>0</v>
      </c>
      <c r="G339" t="s">
        <v>1560</v>
      </c>
      <c r="H339" t="s">
        <v>1425</v>
      </c>
      <c r="I339" t="s">
        <v>1426</v>
      </c>
      <c r="J339" t="s">
        <v>1426</v>
      </c>
      <c r="O339">
        <v>564</v>
      </c>
      <c r="P339" t="str">
        <f t="shared" si="26"/>
        <v>SEKRETER KOLTUĞU SILA MÜDÜR</v>
      </c>
      <c r="Q339" s="1">
        <f t="shared" si="27"/>
        <v>6750</v>
      </c>
      <c r="R339" t="str">
        <f t="shared" si="28"/>
        <v>TL</v>
      </c>
      <c r="S339" t="str">
        <f t="shared" si="29"/>
        <v>MOBİLYA</v>
      </c>
      <c r="T339" t="str">
        <f t="shared" si="25"/>
        <v>mobilya</v>
      </c>
    </row>
    <row r="340" spans="1:20" x14ac:dyDescent="0.25">
      <c r="A340" t="s">
        <v>1422</v>
      </c>
      <c r="B340">
        <v>542</v>
      </c>
      <c r="C340" t="s">
        <v>1728</v>
      </c>
      <c r="D340" t="s">
        <v>311</v>
      </c>
      <c r="E340">
        <v>550</v>
      </c>
      <c r="F340" t="s">
        <v>0</v>
      </c>
      <c r="G340" t="s">
        <v>1560</v>
      </c>
      <c r="H340" t="s">
        <v>1425</v>
      </c>
      <c r="I340" t="s">
        <v>1426</v>
      </c>
      <c r="J340" t="s">
        <v>1426</v>
      </c>
      <c r="O340">
        <v>565</v>
      </c>
      <c r="P340" t="str">
        <f t="shared" si="26"/>
        <v>SEKRETER KOLTUĞU UZAY</v>
      </c>
      <c r="Q340" s="1">
        <f t="shared" si="27"/>
        <v>3600</v>
      </c>
      <c r="R340" t="str">
        <f t="shared" si="28"/>
        <v>TL</v>
      </c>
      <c r="S340" t="str">
        <f t="shared" si="29"/>
        <v>MOBİLYA</v>
      </c>
      <c r="T340" t="str">
        <f t="shared" si="25"/>
        <v>mobilya</v>
      </c>
    </row>
    <row r="341" spans="1:20" x14ac:dyDescent="0.25">
      <c r="A341" t="s">
        <v>1422</v>
      </c>
      <c r="B341">
        <v>543</v>
      </c>
      <c r="C341" t="s">
        <v>1727</v>
      </c>
      <c r="D341" t="s">
        <v>312</v>
      </c>
      <c r="E341">
        <v>550</v>
      </c>
      <c r="F341" t="s">
        <v>0</v>
      </c>
      <c r="G341" t="s">
        <v>1560</v>
      </c>
      <c r="H341" t="s">
        <v>1425</v>
      </c>
      <c r="I341" t="s">
        <v>1426</v>
      </c>
      <c r="J341" t="s">
        <v>1426</v>
      </c>
      <c r="O341">
        <v>566</v>
      </c>
      <c r="P341" t="str">
        <f t="shared" si="26"/>
        <v>SEKRETER KOLTUĞU YILDIZ</v>
      </c>
      <c r="Q341" s="1">
        <f t="shared" si="27"/>
        <v>0</v>
      </c>
      <c r="R341" t="str">
        <f t="shared" si="28"/>
        <v>TL</v>
      </c>
      <c r="S341" t="str">
        <f t="shared" si="29"/>
        <v>MOBİLYA</v>
      </c>
      <c r="T341" t="str">
        <f t="shared" si="25"/>
        <v>mobilya</v>
      </c>
    </row>
    <row r="342" spans="1:20" x14ac:dyDescent="0.25">
      <c r="A342" t="s">
        <v>1422</v>
      </c>
      <c r="B342">
        <v>544</v>
      </c>
      <c r="C342" t="s">
        <v>1726</v>
      </c>
      <c r="D342" t="s">
        <v>313</v>
      </c>
      <c r="E342">
        <v>550</v>
      </c>
      <c r="F342" t="s">
        <v>0</v>
      </c>
      <c r="G342" t="s">
        <v>1560</v>
      </c>
      <c r="H342" t="s">
        <v>1425</v>
      </c>
      <c r="I342" t="s">
        <v>1426</v>
      </c>
      <c r="J342" t="s">
        <v>1426</v>
      </c>
      <c r="O342">
        <v>567</v>
      </c>
      <c r="P342" t="str">
        <f t="shared" si="26"/>
        <v>TABURE DEMİR ÇEMBERLİ</v>
      </c>
      <c r="Q342" s="1">
        <f t="shared" si="27"/>
        <v>700</v>
      </c>
      <c r="R342" t="str">
        <f t="shared" si="28"/>
        <v>TL</v>
      </c>
      <c r="S342" t="str">
        <f t="shared" si="29"/>
        <v>MASA-SAND-SEHPA-ZİGON</v>
      </c>
      <c r="T342" t="str">
        <f t="shared" si="25"/>
        <v>mssz</v>
      </c>
    </row>
    <row r="343" spans="1:20" x14ac:dyDescent="0.25">
      <c r="A343" t="s">
        <v>1422</v>
      </c>
      <c r="B343">
        <v>545</v>
      </c>
      <c r="C343" t="s">
        <v>1725</v>
      </c>
      <c r="D343" t="s">
        <v>314</v>
      </c>
      <c r="E343">
        <v>550</v>
      </c>
      <c r="F343" t="s">
        <v>0</v>
      </c>
      <c r="G343" t="s">
        <v>1560</v>
      </c>
      <c r="H343" t="s">
        <v>1425</v>
      </c>
      <c r="I343" t="s">
        <v>1426</v>
      </c>
      <c r="J343" t="s">
        <v>1426</v>
      </c>
      <c r="O343">
        <v>568</v>
      </c>
      <c r="P343" t="str">
        <f t="shared" si="26"/>
        <v>TABURE DEMİR BOYALI</v>
      </c>
      <c r="Q343" s="1">
        <f t="shared" si="27"/>
        <v>550</v>
      </c>
      <c r="R343" t="str">
        <f t="shared" si="28"/>
        <v>TL</v>
      </c>
      <c r="S343" t="str">
        <f t="shared" si="29"/>
        <v>MASA-SAND-SEHPA-ZİGON</v>
      </c>
      <c r="T343" t="str">
        <f t="shared" si="25"/>
        <v>mssz</v>
      </c>
    </row>
    <row r="344" spans="1:20" x14ac:dyDescent="0.25">
      <c r="A344" t="s">
        <v>1422</v>
      </c>
      <c r="B344">
        <v>546</v>
      </c>
      <c r="C344" t="s">
        <v>1724</v>
      </c>
      <c r="D344" t="s">
        <v>315</v>
      </c>
      <c r="E344">
        <v>550</v>
      </c>
      <c r="F344" t="s">
        <v>0</v>
      </c>
      <c r="G344" t="s">
        <v>1560</v>
      </c>
      <c r="H344" t="s">
        <v>1425</v>
      </c>
      <c r="I344" t="s">
        <v>1426</v>
      </c>
      <c r="J344" t="s">
        <v>1426</v>
      </c>
      <c r="O344">
        <v>569</v>
      </c>
      <c r="P344" t="str">
        <f t="shared" si="26"/>
        <v>TABURE METAL HEKİM</v>
      </c>
      <c r="Q344" s="1">
        <f t="shared" si="27"/>
        <v>4000</v>
      </c>
      <c r="R344" t="str">
        <f t="shared" si="28"/>
        <v>TL</v>
      </c>
      <c r="S344" t="str">
        <f t="shared" si="29"/>
        <v>MASA-SAND-SEHPA-ZİGON</v>
      </c>
      <c r="T344" t="str">
        <f t="shared" si="25"/>
        <v>mssz</v>
      </c>
    </row>
    <row r="345" spans="1:20" x14ac:dyDescent="0.25">
      <c r="A345" t="s">
        <v>1422</v>
      </c>
      <c r="B345">
        <v>547</v>
      </c>
      <c r="C345" t="s">
        <v>1723</v>
      </c>
      <c r="D345" t="s">
        <v>316</v>
      </c>
      <c r="E345">
        <v>700</v>
      </c>
      <c r="F345" t="s">
        <v>0</v>
      </c>
      <c r="G345" t="s">
        <v>1560</v>
      </c>
      <c r="H345" t="s">
        <v>1425</v>
      </c>
      <c r="I345" t="s">
        <v>1426</v>
      </c>
      <c r="J345" t="s">
        <v>1426</v>
      </c>
      <c r="O345">
        <v>570</v>
      </c>
      <c r="P345" t="str">
        <f t="shared" si="26"/>
        <v>TABURE PLASTİK BÜYÜK</v>
      </c>
      <c r="Q345" s="1">
        <f t="shared" si="27"/>
        <v>240</v>
      </c>
      <c r="R345" t="str">
        <f t="shared" si="28"/>
        <v>TL</v>
      </c>
      <c r="S345" t="str">
        <f t="shared" si="29"/>
        <v>MASA-SAND-SEHPA-ZİGON</v>
      </c>
      <c r="T345" t="str">
        <f t="shared" si="25"/>
        <v>mssz</v>
      </c>
    </row>
    <row r="346" spans="1:20" x14ac:dyDescent="0.25">
      <c r="A346" t="s">
        <v>1422</v>
      </c>
      <c r="B346">
        <v>548</v>
      </c>
      <c r="C346" t="s">
        <v>1722</v>
      </c>
      <c r="D346" t="s">
        <v>317</v>
      </c>
      <c r="E346">
        <v>725</v>
      </c>
      <c r="F346" t="s">
        <v>0</v>
      </c>
      <c r="G346" t="s">
        <v>1560</v>
      </c>
      <c r="H346" t="s">
        <v>1425</v>
      </c>
      <c r="I346" t="s">
        <v>1426</v>
      </c>
      <c r="J346" t="s">
        <v>1426</v>
      </c>
      <c r="O346">
        <v>571</v>
      </c>
      <c r="P346" t="str">
        <f t="shared" si="26"/>
        <v>TABURE PLASTİK ORTA BOY 33CM</v>
      </c>
      <c r="Q346" s="1">
        <f t="shared" si="27"/>
        <v>190</v>
      </c>
      <c r="R346" t="str">
        <f t="shared" si="28"/>
        <v>TL</v>
      </c>
      <c r="S346" t="str">
        <f t="shared" si="29"/>
        <v>MASA-SAND-SEHPA-ZİGON</v>
      </c>
      <c r="T346" t="str">
        <f t="shared" si="25"/>
        <v>mssz</v>
      </c>
    </row>
    <row r="347" spans="1:20" x14ac:dyDescent="0.25">
      <c r="A347" t="s">
        <v>1422</v>
      </c>
      <c r="B347">
        <v>549</v>
      </c>
      <c r="C347" t="s">
        <v>1721</v>
      </c>
      <c r="D347" t="s">
        <v>318</v>
      </c>
      <c r="E347">
        <v>750</v>
      </c>
      <c r="F347" t="s">
        <v>0</v>
      </c>
      <c r="G347" t="s">
        <v>1560</v>
      </c>
      <c r="H347" t="s">
        <v>1425</v>
      </c>
      <c r="I347" t="s">
        <v>1426</v>
      </c>
      <c r="J347" t="s">
        <v>1426</v>
      </c>
      <c r="O347">
        <v>572</v>
      </c>
      <c r="P347" t="str">
        <f t="shared" si="26"/>
        <v>TARÇIN HAMAK</v>
      </c>
      <c r="Q347" s="1">
        <f t="shared" si="27"/>
        <v>1050</v>
      </c>
      <c r="R347" t="str">
        <f t="shared" si="28"/>
        <v>TL</v>
      </c>
      <c r="S347" t="str">
        <f t="shared" si="29"/>
        <v>KEA</v>
      </c>
      <c r="T347" t="str">
        <f t="shared" si="25"/>
        <v>kea</v>
      </c>
    </row>
    <row r="348" spans="1:20" x14ac:dyDescent="0.25">
      <c r="A348" t="s">
        <v>1422</v>
      </c>
      <c r="B348">
        <v>550</v>
      </c>
      <c r="C348" t="s">
        <v>1719</v>
      </c>
      <c r="D348" t="s">
        <v>319</v>
      </c>
      <c r="E348">
        <v>2250</v>
      </c>
      <c r="F348" t="s">
        <v>0</v>
      </c>
      <c r="G348" t="s">
        <v>1424</v>
      </c>
      <c r="H348" t="s">
        <v>1425</v>
      </c>
      <c r="I348" t="s">
        <v>1426</v>
      </c>
      <c r="J348" t="s">
        <v>1426</v>
      </c>
      <c r="O348">
        <v>573</v>
      </c>
      <c r="P348" t="str">
        <f t="shared" si="26"/>
        <v xml:space="preserve">SANDALYE TEL SANDALYE </v>
      </c>
      <c r="Q348" s="1">
        <f t="shared" si="27"/>
        <v>1400</v>
      </c>
      <c r="R348" t="str">
        <f t="shared" si="28"/>
        <v>TL</v>
      </c>
      <c r="S348" t="str">
        <f t="shared" si="29"/>
        <v>MASA-SAND-SEHPA-ZİGON</v>
      </c>
      <c r="T348" t="str">
        <f t="shared" si="25"/>
        <v>mssz</v>
      </c>
    </row>
    <row r="349" spans="1:20" x14ac:dyDescent="0.25">
      <c r="A349" t="s">
        <v>1422</v>
      </c>
      <c r="B349">
        <v>551</v>
      </c>
      <c r="C349" t="s">
        <v>1717</v>
      </c>
      <c r="D349" t="s">
        <v>320</v>
      </c>
      <c r="E349">
        <v>700</v>
      </c>
      <c r="F349" t="s">
        <v>0</v>
      </c>
      <c r="G349" t="s">
        <v>1424</v>
      </c>
      <c r="H349" t="s">
        <v>1425</v>
      </c>
      <c r="I349" t="s">
        <v>1426</v>
      </c>
      <c r="J349" t="s">
        <v>1426</v>
      </c>
      <c r="O349">
        <v>584</v>
      </c>
      <c r="P349" t="str">
        <f t="shared" si="26"/>
        <v xml:space="preserve">TV ÜNİTESİ ŞÖMİNELİ DÖŞEMELİ </v>
      </c>
      <c r="Q349" s="1">
        <f t="shared" si="27"/>
        <v>16000</v>
      </c>
      <c r="R349" t="str">
        <f t="shared" si="28"/>
        <v>TL</v>
      </c>
      <c r="S349" t="str">
        <f t="shared" si="29"/>
        <v>MOBİLYA</v>
      </c>
      <c r="T349" t="str">
        <f t="shared" si="25"/>
        <v>mobilya</v>
      </c>
    </row>
    <row r="350" spans="1:20" x14ac:dyDescent="0.25">
      <c r="A350" t="s">
        <v>1422</v>
      </c>
      <c r="B350">
        <v>552</v>
      </c>
      <c r="C350" t="s">
        <v>1716</v>
      </c>
      <c r="D350" t="s">
        <v>321</v>
      </c>
      <c r="E350">
        <v>2700</v>
      </c>
      <c r="F350" t="s">
        <v>0</v>
      </c>
      <c r="G350" t="s">
        <v>1424</v>
      </c>
      <c r="H350" t="s">
        <v>1425</v>
      </c>
      <c r="I350" t="s">
        <v>1426</v>
      </c>
      <c r="J350" t="s">
        <v>1426</v>
      </c>
      <c r="O350">
        <v>585</v>
      </c>
      <c r="P350" t="str">
        <f t="shared" si="26"/>
        <v>YAŞAM 4+1 AHŞAP NİKEL ODABAŞI</v>
      </c>
      <c r="Q350" s="1">
        <f t="shared" si="27"/>
        <v>10000</v>
      </c>
      <c r="R350" t="str">
        <f t="shared" si="28"/>
        <v>TL</v>
      </c>
      <c r="S350" t="str">
        <f t="shared" si="29"/>
        <v>MASA-SAND-SEHPA-ZİGON</v>
      </c>
      <c r="T350" t="str">
        <f t="shared" si="25"/>
        <v>mssz</v>
      </c>
    </row>
    <row r="351" spans="1:20" x14ac:dyDescent="0.25">
      <c r="A351" t="s">
        <v>1422</v>
      </c>
      <c r="B351">
        <v>553</v>
      </c>
      <c r="C351" t="s">
        <v>1715</v>
      </c>
      <c r="D351" t="s">
        <v>322</v>
      </c>
      <c r="E351">
        <v>725</v>
      </c>
      <c r="F351" t="s">
        <v>0</v>
      </c>
      <c r="G351" t="s">
        <v>1424</v>
      </c>
      <c r="H351" t="s">
        <v>1425</v>
      </c>
      <c r="I351" t="s">
        <v>1426</v>
      </c>
      <c r="J351" t="s">
        <v>1426</v>
      </c>
      <c r="O351">
        <v>586</v>
      </c>
      <c r="P351" t="str">
        <f t="shared" si="26"/>
        <v>YAŞAM 4+1 SET CAMLI NİKEL ODABAŞI</v>
      </c>
      <c r="Q351" s="1">
        <f t="shared" si="27"/>
        <v>9000</v>
      </c>
      <c r="R351" t="str">
        <f t="shared" si="28"/>
        <v>TL</v>
      </c>
      <c r="S351" t="str">
        <f t="shared" si="29"/>
        <v>MASA-SAND-SEHPA-ZİGON</v>
      </c>
      <c r="T351" t="str">
        <f t="shared" si="25"/>
        <v>mssz</v>
      </c>
    </row>
    <row r="352" spans="1:20" x14ac:dyDescent="0.25">
      <c r="A352" t="s">
        <v>1422</v>
      </c>
      <c r="B352">
        <v>554</v>
      </c>
      <c r="C352" t="s">
        <v>1714</v>
      </c>
      <c r="D352" t="s">
        <v>323</v>
      </c>
      <c r="E352">
        <v>2250</v>
      </c>
      <c r="F352" t="s">
        <v>0</v>
      </c>
      <c r="G352" t="s">
        <v>1424</v>
      </c>
      <c r="H352" t="s">
        <v>1425</v>
      </c>
      <c r="I352" t="s">
        <v>1426</v>
      </c>
      <c r="J352" t="s">
        <v>1426</v>
      </c>
      <c r="O352">
        <v>587</v>
      </c>
      <c r="P352" t="str">
        <f t="shared" si="26"/>
        <v>ZEYTİN ANADİZİ</v>
      </c>
      <c r="Q352" s="1">
        <f t="shared" si="27"/>
        <v>850</v>
      </c>
      <c r="R352" t="str">
        <f t="shared" si="28"/>
        <v>TL</v>
      </c>
      <c r="S352" t="str">
        <f t="shared" si="29"/>
        <v>KEA</v>
      </c>
      <c r="T352" t="str">
        <f t="shared" si="25"/>
        <v>kea</v>
      </c>
    </row>
    <row r="353" spans="1:20" x14ac:dyDescent="0.25">
      <c r="A353" t="s">
        <v>1422</v>
      </c>
      <c r="B353">
        <v>555</v>
      </c>
      <c r="C353" t="s">
        <v>1709</v>
      </c>
      <c r="D353" t="s">
        <v>324</v>
      </c>
      <c r="E353">
        <v>5100</v>
      </c>
      <c r="F353" t="s">
        <v>0</v>
      </c>
      <c r="G353" t="s">
        <v>1560</v>
      </c>
      <c r="H353" t="s">
        <v>1425</v>
      </c>
      <c r="I353" t="s">
        <v>1426</v>
      </c>
      <c r="J353" t="s">
        <v>1426</v>
      </c>
      <c r="O353">
        <v>588</v>
      </c>
      <c r="P353" t="str">
        <f t="shared" si="26"/>
        <v>ZİGON A TEPSİ METAL AYAK</v>
      </c>
      <c r="Q353" s="1">
        <f t="shared" si="27"/>
        <v>2600</v>
      </c>
      <c r="R353" t="str">
        <f t="shared" si="28"/>
        <v>TL</v>
      </c>
      <c r="S353" t="str">
        <f t="shared" si="29"/>
        <v>MASA-SAND-SEHPA-ZİGON</v>
      </c>
      <c r="T353" t="str">
        <f t="shared" si="25"/>
        <v>mssz</v>
      </c>
    </row>
    <row r="354" spans="1:20" x14ac:dyDescent="0.25">
      <c r="A354" t="s">
        <v>1422</v>
      </c>
      <c r="B354">
        <v>556</v>
      </c>
      <c r="C354" t="s">
        <v>1707</v>
      </c>
      <c r="D354" t="s">
        <v>325</v>
      </c>
      <c r="E354">
        <v>1875</v>
      </c>
      <c r="F354" t="s">
        <v>0</v>
      </c>
      <c r="G354" t="s">
        <v>1560</v>
      </c>
      <c r="H354" t="s">
        <v>1425</v>
      </c>
      <c r="I354" t="s">
        <v>1426</v>
      </c>
      <c r="J354" t="s">
        <v>1426</v>
      </c>
      <c r="O354">
        <v>589</v>
      </c>
      <c r="P354" t="str">
        <f t="shared" si="26"/>
        <v>ZİGON C 3 LÜ TEKERLEKLİ TAŞÇIOĞLU</v>
      </c>
      <c r="Q354" s="1">
        <f t="shared" si="27"/>
        <v>4200</v>
      </c>
      <c r="R354" t="str">
        <f t="shared" si="28"/>
        <v>TL</v>
      </c>
      <c r="S354" t="str">
        <f t="shared" si="29"/>
        <v>MASA-SAND-SEHPA-ZİGON</v>
      </c>
      <c r="T354" t="str">
        <f t="shared" si="25"/>
        <v>mssz</v>
      </c>
    </row>
    <row r="355" spans="1:20" x14ac:dyDescent="0.25">
      <c r="A355" t="s">
        <v>1422</v>
      </c>
      <c r="B355">
        <v>557</v>
      </c>
      <c r="C355" t="s">
        <v>1706</v>
      </c>
      <c r="D355" t="s">
        <v>326</v>
      </c>
      <c r="E355">
        <v>3600</v>
      </c>
      <c r="F355" t="s">
        <v>0</v>
      </c>
      <c r="G355" t="s">
        <v>1560</v>
      </c>
      <c r="H355" t="s">
        <v>1425</v>
      </c>
      <c r="I355" t="s">
        <v>1426</v>
      </c>
      <c r="J355" t="s">
        <v>1426</v>
      </c>
      <c r="O355">
        <v>590</v>
      </c>
      <c r="P355" t="str">
        <f t="shared" si="26"/>
        <v>ZİGON C 4 LÜ TEKERLEKLİ COŞKUN</v>
      </c>
      <c r="Q355" s="1">
        <f t="shared" si="27"/>
        <v>4900</v>
      </c>
      <c r="R355" t="str">
        <f t="shared" si="28"/>
        <v>TL</v>
      </c>
      <c r="S355" t="str">
        <f t="shared" si="29"/>
        <v>MASA-SAND-SEHPA-ZİGON</v>
      </c>
      <c r="T355" t="str">
        <f t="shared" si="25"/>
        <v>mssz</v>
      </c>
    </row>
    <row r="356" spans="1:20" x14ac:dyDescent="0.25">
      <c r="A356" t="s">
        <v>1422</v>
      </c>
      <c r="B356">
        <v>558</v>
      </c>
      <c r="C356" t="s">
        <v>1705</v>
      </c>
      <c r="D356" t="s">
        <v>327</v>
      </c>
      <c r="E356">
        <v>0</v>
      </c>
      <c r="F356" t="s">
        <v>0</v>
      </c>
      <c r="G356" t="s">
        <v>1560</v>
      </c>
      <c r="H356" t="s">
        <v>1425</v>
      </c>
      <c r="I356" t="s">
        <v>1426</v>
      </c>
      <c r="J356" t="s">
        <v>1426</v>
      </c>
      <c r="O356">
        <v>591</v>
      </c>
      <c r="P356" t="str">
        <f t="shared" si="26"/>
        <v>ZİGON C AHŞAP ALFA</v>
      </c>
      <c r="Q356" s="1">
        <f t="shared" si="27"/>
        <v>2300</v>
      </c>
      <c r="R356" t="str">
        <f t="shared" si="28"/>
        <v>TL</v>
      </c>
      <c r="S356" t="str">
        <f t="shared" si="29"/>
        <v>MASA-SAND-SEHPA-ZİGON</v>
      </c>
      <c r="T356" t="str">
        <f t="shared" si="25"/>
        <v>mssz</v>
      </c>
    </row>
    <row r="357" spans="1:20" x14ac:dyDescent="0.25">
      <c r="A357" t="s">
        <v>1422</v>
      </c>
      <c r="B357">
        <v>559</v>
      </c>
      <c r="C357" t="s">
        <v>1704</v>
      </c>
      <c r="D357" t="s">
        <v>328</v>
      </c>
      <c r="E357">
        <v>2475</v>
      </c>
      <c r="F357" t="s">
        <v>0</v>
      </c>
      <c r="G357" t="s">
        <v>1560</v>
      </c>
      <c r="H357" t="s">
        <v>1425</v>
      </c>
      <c r="I357" t="s">
        <v>1426</v>
      </c>
      <c r="J357" t="s">
        <v>1426</v>
      </c>
      <c r="O357">
        <v>592</v>
      </c>
      <c r="P357" t="str">
        <f t="shared" si="26"/>
        <v>ZİGON C CAMLI GOLD</v>
      </c>
      <c r="Q357" s="1">
        <f t="shared" si="27"/>
        <v>2300</v>
      </c>
      <c r="R357" t="str">
        <f t="shared" si="28"/>
        <v>TL</v>
      </c>
      <c r="S357" t="str">
        <f t="shared" si="29"/>
        <v>MASA-SAND-SEHPA-ZİGON</v>
      </c>
      <c r="T357" t="str">
        <f t="shared" si="25"/>
        <v>mssz</v>
      </c>
    </row>
    <row r="358" spans="1:20" x14ac:dyDescent="0.25">
      <c r="A358" t="s">
        <v>1422</v>
      </c>
      <c r="B358">
        <v>560</v>
      </c>
      <c r="C358" t="s">
        <v>1702</v>
      </c>
      <c r="D358" t="s">
        <v>329</v>
      </c>
      <c r="E358">
        <v>0</v>
      </c>
      <c r="F358" t="s">
        <v>0</v>
      </c>
      <c r="G358" t="s">
        <v>1560</v>
      </c>
      <c r="H358" t="s">
        <v>1425</v>
      </c>
      <c r="I358" t="s">
        <v>1426</v>
      </c>
      <c r="J358" t="s">
        <v>1426</v>
      </c>
      <c r="O358">
        <v>594</v>
      </c>
      <c r="P358" t="str">
        <f t="shared" si="26"/>
        <v xml:space="preserve">ZİGON ÇANTA CAMLI BASKILI </v>
      </c>
      <c r="Q358" s="1">
        <f t="shared" si="27"/>
        <v>7500</v>
      </c>
      <c r="R358" t="str">
        <f t="shared" si="28"/>
        <v>TL</v>
      </c>
      <c r="S358" t="str">
        <f t="shared" si="29"/>
        <v>MASA-SAND-SEHPA-ZİGON</v>
      </c>
      <c r="T358" t="str">
        <f t="shared" si="25"/>
        <v>mssz</v>
      </c>
    </row>
    <row r="359" spans="1:20" x14ac:dyDescent="0.25">
      <c r="A359" t="s">
        <v>1422</v>
      </c>
      <c r="B359">
        <v>561</v>
      </c>
      <c r="C359" t="s">
        <v>1701</v>
      </c>
      <c r="D359" t="s">
        <v>330</v>
      </c>
      <c r="E359">
        <v>0</v>
      </c>
      <c r="F359" t="s">
        <v>0</v>
      </c>
      <c r="G359" t="s">
        <v>1560</v>
      </c>
      <c r="H359" t="s">
        <v>1425</v>
      </c>
      <c r="I359" t="s">
        <v>1426</v>
      </c>
      <c r="J359" t="s">
        <v>1426</v>
      </c>
      <c r="O359">
        <v>595</v>
      </c>
      <c r="P359" t="str">
        <f t="shared" si="26"/>
        <v>ZİGON ÇANTA MEBRAN</v>
      </c>
      <c r="Q359" s="1">
        <f t="shared" si="27"/>
        <v>7500</v>
      </c>
      <c r="R359" t="str">
        <f t="shared" si="28"/>
        <v>TL</v>
      </c>
      <c r="S359" t="str">
        <f t="shared" si="29"/>
        <v>MASA-SAND-SEHPA-ZİGON</v>
      </c>
      <c r="T359" t="str">
        <f t="shared" si="25"/>
        <v>mssz</v>
      </c>
    </row>
    <row r="360" spans="1:20" x14ac:dyDescent="0.25">
      <c r="A360" t="s">
        <v>1422</v>
      </c>
      <c r="B360">
        <v>562</v>
      </c>
      <c r="C360" t="s">
        <v>1700</v>
      </c>
      <c r="D360" t="s">
        <v>331</v>
      </c>
      <c r="E360">
        <v>3750</v>
      </c>
      <c r="F360" t="s">
        <v>0</v>
      </c>
      <c r="G360" t="s">
        <v>1560</v>
      </c>
      <c r="H360" t="s">
        <v>1425</v>
      </c>
      <c r="I360" t="s">
        <v>1426</v>
      </c>
      <c r="J360" t="s">
        <v>1426</v>
      </c>
      <c r="O360">
        <v>596</v>
      </c>
      <c r="P360" t="str">
        <f t="shared" si="26"/>
        <v>ZİGON ÇANTA MEBRAN ERELYA (TND)</v>
      </c>
      <c r="Q360" s="1">
        <f t="shared" si="27"/>
        <v>7500</v>
      </c>
      <c r="R360" t="str">
        <f t="shared" si="28"/>
        <v>TL</v>
      </c>
      <c r="S360" t="str">
        <f t="shared" si="29"/>
        <v>MASA-SAND-SEHPA-ZİGON</v>
      </c>
      <c r="T360" t="str">
        <f t="shared" si="25"/>
        <v>mssz</v>
      </c>
    </row>
    <row r="361" spans="1:20" x14ac:dyDescent="0.25">
      <c r="A361" t="s">
        <v>1422</v>
      </c>
      <c r="B361">
        <v>563</v>
      </c>
      <c r="C361" t="s">
        <v>1703</v>
      </c>
      <c r="D361" t="s">
        <v>332</v>
      </c>
      <c r="E361">
        <v>2475</v>
      </c>
      <c r="F361" t="s">
        <v>0</v>
      </c>
      <c r="G361" t="s">
        <v>1560</v>
      </c>
      <c r="H361" t="s">
        <v>1425</v>
      </c>
      <c r="I361" t="s">
        <v>1426</v>
      </c>
      <c r="J361" t="s">
        <v>1426</v>
      </c>
      <c r="O361">
        <v>598</v>
      </c>
      <c r="P361" t="str">
        <f t="shared" si="26"/>
        <v>ZİGON DEMET BOYALI</v>
      </c>
      <c r="Q361" s="1">
        <f t="shared" si="27"/>
        <v>2100</v>
      </c>
      <c r="R361" t="str">
        <f t="shared" si="28"/>
        <v>TL</v>
      </c>
      <c r="S361" t="str">
        <f t="shared" si="29"/>
        <v>MASA-SAND-SEHPA-ZİGON</v>
      </c>
      <c r="T361" t="str">
        <f t="shared" si="25"/>
        <v>mssz</v>
      </c>
    </row>
    <row r="362" spans="1:20" x14ac:dyDescent="0.25">
      <c r="A362" t="s">
        <v>1422</v>
      </c>
      <c r="B362">
        <v>564</v>
      </c>
      <c r="C362" t="s">
        <v>1699</v>
      </c>
      <c r="D362" t="s">
        <v>333</v>
      </c>
      <c r="E362">
        <v>3375</v>
      </c>
      <c r="F362" t="s">
        <v>0</v>
      </c>
      <c r="G362" t="s">
        <v>1560</v>
      </c>
      <c r="H362" t="s">
        <v>1425</v>
      </c>
      <c r="I362" t="s">
        <v>1426</v>
      </c>
      <c r="J362" t="s">
        <v>1426</v>
      </c>
      <c r="O362">
        <v>599</v>
      </c>
      <c r="P362" t="str">
        <f t="shared" si="26"/>
        <v>ZİGON GÜRGEN</v>
      </c>
      <c r="Q362" s="1">
        <f t="shared" si="27"/>
        <v>0</v>
      </c>
      <c r="R362" t="str">
        <f t="shared" si="28"/>
        <v>TL</v>
      </c>
      <c r="S362" t="str">
        <f t="shared" si="29"/>
        <v>MASA-SAND-SEHPA-ZİGON</v>
      </c>
      <c r="T362" t="str">
        <f t="shared" si="25"/>
        <v>mssz</v>
      </c>
    </row>
    <row r="363" spans="1:20" x14ac:dyDescent="0.25">
      <c r="A363" t="s">
        <v>1422</v>
      </c>
      <c r="B363">
        <v>565</v>
      </c>
      <c r="C363" t="s">
        <v>1698</v>
      </c>
      <c r="D363" t="s">
        <v>334</v>
      </c>
      <c r="E363">
        <v>1800</v>
      </c>
      <c r="F363" t="s">
        <v>0</v>
      </c>
      <c r="G363" t="s">
        <v>1560</v>
      </c>
      <c r="H363" t="s">
        <v>1425</v>
      </c>
      <c r="I363" t="s">
        <v>1426</v>
      </c>
      <c r="J363" t="s">
        <v>1426</v>
      </c>
      <c r="O363">
        <v>609</v>
      </c>
      <c r="P363" t="str">
        <f t="shared" si="26"/>
        <v>ZİGON C HASIR AHŞAP NİKEL / GOLD ODABAŞI</v>
      </c>
      <c r="Q363" s="1">
        <f t="shared" si="27"/>
        <v>7600</v>
      </c>
      <c r="R363" t="str">
        <f t="shared" si="28"/>
        <v>TL</v>
      </c>
      <c r="S363" t="str">
        <f t="shared" si="29"/>
        <v>MASA-SAND-SEHPA-ZİGON</v>
      </c>
      <c r="T363" t="str">
        <f t="shared" si="25"/>
        <v>mssz</v>
      </c>
    </row>
    <row r="364" spans="1:20" x14ac:dyDescent="0.25">
      <c r="A364" t="s">
        <v>1422</v>
      </c>
      <c r="B364">
        <v>566</v>
      </c>
      <c r="C364" t="s">
        <v>1697</v>
      </c>
      <c r="D364" t="s">
        <v>335</v>
      </c>
      <c r="E364">
        <v>0</v>
      </c>
      <c r="F364" t="s">
        <v>0</v>
      </c>
      <c r="G364" t="s">
        <v>1560</v>
      </c>
      <c r="H364" t="s">
        <v>1425</v>
      </c>
      <c r="I364" t="s">
        <v>1426</v>
      </c>
      <c r="J364" t="s">
        <v>1426</v>
      </c>
      <c r="O364">
        <v>615</v>
      </c>
      <c r="P364" t="str">
        <f t="shared" si="26"/>
        <v>ZİGON HİLAL TEKERLEKLİ NİKEL (MSSN)</v>
      </c>
      <c r="Q364" s="1">
        <f t="shared" si="27"/>
        <v>0</v>
      </c>
      <c r="R364" t="str">
        <f t="shared" si="28"/>
        <v>TL</v>
      </c>
      <c r="S364" t="str">
        <f t="shared" si="29"/>
        <v>MASA-SAND-SEHPA-ZİGON</v>
      </c>
      <c r="T364" t="str">
        <f t="shared" si="25"/>
        <v>mssz</v>
      </c>
    </row>
    <row r="365" spans="1:20" x14ac:dyDescent="0.25">
      <c r="A365" t="s">
        <v>1422</v>
      </c>
      <c r="B365">
        <v>567</v>
      </c>
      <c r="C365" t="s">
        <v>1627</v>
      </c>
      <c r="D365" t="s">
        <v>336</v>
      </c>
      <c r="E365">
        <v>350</v>
      </c>
      <c r="F365" t="s">
        <v>0</v>
      </c>
      <c r="G365" t="s">
        <v>1424</v>
      </c>
      <c r="H365" t="s">
        <v>1425</v>
      </c>
      <c r="I365" t="s">
        <v>1426</v>
      </c>
      <c r="J365" t="s">
        <v>1426</v>
      </c>
      <c r="O365">
        <v>616</v>
      </c>
      <c r="P365" t="str">
        <f t="shared" si="26"/>
        <v>ZİGON İZMİR</v>
      </c>
      <c r="Q365" s="1">
        <f t="shared" si="27"/>
        <v>10000</v>
      </c>
      <c r="R365" t="str">
        <f t="shared" si="28"/>
        <v>TL</v>
      </c>
      <c r="S365" t="str">
        <f t="shared" si="29"/>
        <v>MASA-SAND-SEHPA-ZİGON</v>
      </c>
      <c r="T365" t="str">
        <f t="shared" si="25"/>
        <v>mssz</v>
      </c>
    </row>
    <row r="366" spans="1:20" x14ac:dyDescent="0.25">
      <c r="A366" t="s">
        <v>1422</v>
      </c>
      <c r="B366">
        <v>568</v>
      </c>
      <c r="C366" t="s">
        <v>1628</v>
      </c>
      <c r="D366" t="s">
        <v>337</v>
      </c>
      <c r="E366">
        <v>275</v>
      </c>
      <c r="F366" t="s">
        <v>0</v>
      </c>
      <c r="G366" t="s">
        <v>1424</v>
      </c>
      <c r="H366" t="s">
        <v>1425</v>
      </c>
      <c r="I366" t="s">
        <v>1426</v>
      </c>
      <c r="J366" t="s">
        <v>1426</v>
      </c>
      <c r="O366">
        <v>620</v>
      </c>
      <c r="P366" t="str">
        <f t="shared" si="26"/>
        <v>ZİGON KUĞU CAMLI</v>
      </c>
      <c r="Q366" s="1">
        <f t="shared" si="27"/>
        <v>3000</v>
      </c>
      <c r="R366" t="str">
        <f t="shared" si="28"/>
        <v>TL</v>
      </c>
      <c r="S366" t="str">
        <f t="shared" si="29"/>
        <v>MASA-SAND-SEHPA-ZİGON</v>
      </c>
      <c r="T366" t="str">
        <f t="shared" si="25"/>
        <v>mssz</v>
      </c>
    </row>
    <row r="367" spans="1:20" x14ac:dyDescent="0.25">
      <c r="A367" t="s">
        <v>1422</v>
      </c>
      <c r="B367">
        <v>569</v>
      </c>
      <c r="C367" t="s">
        <v>1624</v>
      </c>
      <c r="D367" t="s">
        <v>338</v>
      </c>
      <c r="E367">
        <v>2000</v>
      </c>
      <c r="F367" t="s">
        <v>0</v>
      </c>
      <c r="G367" t="s">
        <v>1424</v>
      </c>
      <c r="H367" t="s">
        <v>1425</v>
      </c>
      <c r="I367" t="s">
        <v>1426</v>
      </c>
      <c r="J367" t="s">
        <v>1426</v>
      </c>
      <c r="O367">
        <v>621</v>
      </c>
      <c r="P367" t="str">
        <f t="shared" si="26"/>
        <v>ZİGON KUM SAATİ CAMLI</v>
      </c>
      <c r="Q367" s="1">
        <f t="shared" si="27"/>
        <v>3000</v>
      </c>
      <c r="R367" t="str">
        <f t="shared" si="28"/>
        <v>TL</v>
      </c>
      <c r="S367" t="str">
        <f t="shared" si="29"/>
        <v>MASA-SAND-SEHPA-ZİGON</v>
      </c>
      <c r="T367" t="str">
        <f t="shared" si="25"/>
        <v>mssz</v>
      </c>
    </row>
    <row r="368" spans="1:20" x14ac:dyDescent="0.25">
      <c r="A368" t="s">
        <v>1422</v>
      </c>
      <c r="B368">
        <v>570</v>
      </c>
      <c r="C368" t="s">
        <v>1623</v>
      </c>
      <c r="D368" t="s">
        <v>861</v>
      </c>
      <c r="E368">
        <v>120</v>
      </c>
      <c r="F368" t="s">
        <v>0</v>
      </c>
      <c r="G368" t="s">
        <v>1424</v>
      </c>
      <c r="H368" t="s">
        <v>1425</v>
      </c>
      <c r="I368" t="s">
        <v>1426</v>
      </c>
      <c r="J368" t="s">
        <v>1426</v>
      </c>
      <c r="O368">
        <v>622</v>
      </c>
      <c r="P368" t="str">
        <f t="shared" si="26"/>
        <v>ZİGON KUM SAATİ HASIRLI CAMLI</v>
      </c>
      <c r="Q368" s="1">
        <f t="shared" si="27"/>
        <v>3000</v>
      </c>
      <c r="R368" t="str">
        <f t="shared" si="28"/>
        <v>TL</v>
      </c>
      <c r="S368" t="str">
        <f t="shared" si="29"/>
        <v>MASA-SAND-SEHPA-ZİGON</v>
      </c>
      <c r="T368" t="str">
        <f t="shared" si="25"/>
        <v>mssz</v>
      </c>
    </row>
    <row r="369" spans="1:20" x14ac:dyDescent="0.25">
      <c r="A369" t="s">
        <v>1422</v>
      </c>
      <c r="B369">
        <v>571</v>
      </c>
      <c r="C369" t="s">
        <v>1622</v>
      </c>
      <c r="D369" t="s">
        <v>862</v>
      </c>
      <c r="E369">
        <v>95</v>
      </c>
      <c r="F369" t="s">
        <v>0</v>
      </c>
      <c r="G369" t="s">
        <v>1424</v>
      </c>
      <c r="H369" t="s">
        <v>1425</v>
      </c>
      <c r="I369" t="s">
        <v>1426</v>
      </c>
      <c r="J369" t="s">
        <v>1426</v>
      </c>
      <c r="O369">
        <v>623</v>
      </c>
      <c r="P369" t="str">
        <f t="shared" si="26"/>
        <v>ZİGON LUKENS SABİT</v>
      </c>
      <c r="Q369" s="1">
        <f t="shared" si="27"/>
        <v>0</v>
      </c>
      <c r="R369" t="str">
        <f t="shared" si="28"/>
        <v>TL</v>
      </c>
      <c r="S369" t="str">
        <f t="shared" si="29"/>
        <v>MASA-SAND-SEHPA-ZİGON</v>
      </c>
      <c r="T369" t="str">
        <f t="shared" si="25"/>
        <v>mssz</v>
      </c>
    </row>
    <row r="370" spans="1:20" x14ac:dyDescent="0.25">
      <c r="A370" t="s">
        <v>1422</v>
      </c>
      <c r="B370">
        <v>572</v>
      </c>
      <c r="C370" t="s">
        <v>1621</v>
      </c>
      <c r="D370" t="s">
        <v>339</v>
      </c>
      <c r="E370">
        <v>525</v>
      </c>
      <c r="F370" t="s">
        <v>0</v>
      </c>
      <c r="G370" t="s">
        <v>1525</v>
      </c>
      <c r="H370" t="s">
        <v>1425</v>
      </c>
      <c r="I370" t="s">
        <v>1426</v>
      </c>
      <c r="J370" t="s">
        <v>1426</v>
      </c>
      <c r="O370">
        <v>626</v>
      </c>
      <c r="P370" t="str">
        <f t="shared" si="26"/>
        <v>ZİGON LÜKENS CANIPEK</v>
      </c>
      <c r="Q370" s="1">
        <f t="shared" si="27"/>
        <v>0</v>
      </c>
      <c r="R370" t="str">
        <f t="shared" si="28"/>
        <v>TL</v>
      </c>
      <c r="S370" t="str">
        <f t="shared" si="29"/>
        <v>MASA-SAND-SEHPA-ZİGON</v>
      </c>
      <c r="T370" t="str">
        <f t="shared" si="25"/>
        <v>mssz</v>
      </c>
    </row>
    <row r="371" spans="1:20" x14ac:dyDescent="0.25">
      <c r="A371" t="s">
        <v>1422</v>
      </c>
      <c r="B371">
        <v>573</v>
      </c>
      <c r="C371" t="s">
        <v>1718</v>
      </c>
      <c r="D371" t="s">
        <v>340</v>
      </c>
      <c r="E371">
        <v>700</v>
      </c>
      <c r="F371" t="s">
        <v>0</v>
      </c>
      <c r="G371" t="s">
        <v>1424</v>
      </c>
      <c r="H371" t="s">
        <v>1425</v>
      </c>
      <c r="I371" t="s">
        <v>1426</v>
      </c>
      <c r="J371" t="s">
        <v>1426</v>
      </c>
      <c r="O371">
        <v>628</v>
      </c>
      <c r="P371" t="str">
        <f t="shared" si="26"/>
        <v>ZİGON LÜKENS DEMONTE BEYAZ DÜZ</v>
      </c>
      <c r="Q371" s="1">
        <f t="shared" si="27"/>
        <v>10000</v>
      </c>
      <c r="R371" t="str">
        <f t="shared" si="28"/>
        <v>TL</v>
      </c>
      <c r="S371" t="str">
        <f t="shared" si="29"/>
        <v>MASA-SAND-SEHPA-ZİGON</v>
      </c>
      <c r="T371" t="str">
        <f t="shared" si="25"/>
        <v>mssz</v>
      </c>
    </row>
    <row r="372" spans="1:20" x14ac:dyDescent="0.25">
      <c r="A372" t="s">
        <v>1422</v>
      </c>
      <c r="B372">
        <v>584</v>
      </c>
      <c r="C372" t="s">
        <v>1595</v>
      </c>
      <c r="D372" t="s">
        <v>341</v>
      </c>
      <c r="E372">
        <v>8000</v>
      </c>
      <c r="F372" t="s">
        <v>0</v>
      </c>
      <c r="G372" t="s">
        <v>1560</v>
      </c>
      <c r="H372" t="s">
        <v>1425</v>
      </c>
      <c r="I372" t="s">
        <v>1426</v>
      </c>
      <c r="J372" t="s">
        <v>1426</v>
      </c>
      <c r="O372">
        <v>629</v>
      </c>
      <c r="P372" t="str">
        <f t="shared" si="26"/>
        <v>ZİGON LÜKENS DEMONTE BEYAZ OYMALI</v>
      </c>
      <c r="Q372" s="1">
        <f t="shared" si="27"/>
        <v>0</v>
      </c>
      <c r="R372" t="str">
        <f t="shared" si="28"/>
        <v>TL</v>
      </c>
      <c r="S372" t="str">
        <f t="shared" si="29"/>
        <v>MASA-SAND-SEHPA-ZİGON</v>
      </c>
      <c r="T372" t="str">
        <f t="shared" si="25"/>
        <v>mssz</v>
      </c>
    </row>
    <row r="373" spans="1:20" x14ac:dyDescent="0.25">
      <c r="A373" t="s">
        <v>1422</v>
      </c>
      <c r="B373">
        <v>585</v>
      </c>
      <c r="C373" t="s">
        <v>1548</v>
      </c>
      <c r="D373" t="s">
        <v>342</v>
      </c>
      <c r="E373">
        <v>5000</v>
      </c>
      <c r="F373" t="s">
        <v>0</v>
      </c>
      <c r="G373" t="s">
        <v>1424</v>
      </c>
      <c r="H373" t="s">
        <v>1425</v>
      </c>
      <c r="I373" t="s">
        <v>1426</v>
      </c>
      <c r="J373" t="s">
        <v>1426</v>
      </c>
      <c r="O373">
        <v>630</v>
      </c>
      <c r="P373" t="str">
        <f t="shared" si="26"/>
        <v>ZİGON LÜKENS DEMONTE KREM DÜZ</v>
      </c>
      <c r="Q373" s="1">
        <f t="shared" si="27"/>
        <v>0</v>
      </c>
      <c r="R373" t="str">
        <f t="shared" si="28"/>
        <v>TL</v>
      </c>
      <c r="S373" t="str">
        <f t="shared" si="29"/>
        <v>MASA-SAND-SEHPA-ZİGON</v>
      </c>
      <c r="T373" t="str">
        <f t="shared" si="25"/>
        <v>mssz</v>
      </c>
    </row>
    <row r="374" spans="1:20" x14ac:dyDescent="0.25">
      <c r="A374" t="s">
        <v>1422</v>
      </c>
      <c r="B374">
        <v>586</v>
      </c>
      <c r="C374" t="s">
        <v>1542</v>
      </c>
      <c r="D374" t="s">
        <v>343</v>
      </c>
      <c r="E374">
        <v>4500</v>
      </c>
      <c r="F374" t="s">
        <v>0</v>
      </c>
      <c r="G374" t="s">
        <v>1424</v>
      </c>
      <c r="H374" t="s">
        <v>1425</v>
      </c>
      <c r="I374" t="s">
        <v>1426</v>
      </c>
      <c r="J374" t="s">
        <v>1426</v>
      </c>
      <c r="O374">
        <v>631</v>
      </c>
      <c r="P374" t="str">
        <f t="shared" si="26"/>
        <v>ZİGON LÜKENS DEMONTE KREM OYMALI</v>
      </c>
      <c r="Q374" s="1">
        <f t="shared" si="27"/>
        <v>0</v>
      </c>
      <c r="R374" t="str">
        <f t="shared" si="28"/>
        <v>TL</v>
      </c>
      <c r="S374" t="str">
        <f t="shared" si="29"/>
        <v>MASA-SAND-SEHPA-ZİGON</v>
      </c>
      <c r="T374" t="str">
        <f t="shared" si="25"/>
        <v>mssz</v>
      </c>
    </row>
    <row r="375" spans="1:20" x14ac:dyDescent="0.25">
      <c r="A375" t="s">
        <v>1422</v>
      </c>
      <c r="B375">
        <v>587</v>
      </c>
      <c r="C375" t="s">
        <v>1524</v>
      </c>
      <c r="D375" t="s">
        <v>344</v>
      </c>
      <c r="E375">
        <v>425</v>
      </c>
      <c r="F375" t="s">
        <v>0</v>
      </c>
      <c r="G375" t="s">
        <v>1525</v>
      </c>
      <c r="H375" t="s">
        <v>1425</v>
      </c>
      <c r="I375" t="s">
        <v>1426</v>
      </c>
      <c r="J375" t="s">
        <v>1426</v>
      </c>
      <c r="O375">
        <v>632</v>
      </c>
      <c r="P375" t="str">
        <f t="shared" si="26"/>
        <v>ZİGON LÜKENS KREM CANIPEK</v>
      </c>
      <c r="Q375" s="1">
        <f t="shared" si="27"/>
        <v>0</v>
      </c>
      <c r="R375" t="str">
        <f t="shared" si="28"/>
        <v>TL</v>
      </c>
      <c r="S375" t="str">
        <f t="shared" si="29"/>
        <v>MASA-SAND-SEHPA-ZİGON</v>
      </c>
      <c r="T375" t="str">
        <f t="shared" si="25"/>
        <v>mssz</v>
      </c>
    </row>
    <row r="376" spans="1:20" x14ac:dyDescent="0.25">
      <c r="A376" t="s">
        <v>1422</v>
      </c>
      <c r="B376">
        <v>588</v>
      </c>
      <c r="C376" t="s">
        <v>1519</v>
      </c>
      <c r="D376" t="s">
        <v>345</v>
      </c>
      <c r="E376">
        <v>1300</v>
      </c>
      <c r="F376" t="s">
        <v>0</v>
      </c>
      <c r="G376" t="s">
        <v>1424</v>
      </c>
      <c r="H376" t="s">
        <v>1520</v>
      </c>
      <c r="I376" t="s">
        <v>1426</v>
      </c>
      <c r="J376" t="s">
        <v>1426</v>
      </c>
      <c r="O376">
        <v>633</v>
      </c>
      <c r="P376" t="str">
        <f t="shared" si="26"/>
        <v>ZİGON OTTO ODABAŞI</v>
      </c>
      <c r="Q376" s="1">
        <f t="shared" si="27"/>
        <v>9000</v>
      </c>
      <c r="R376" t="str">
        <f t="shared" si="28"/>
        <v>TL</v>
      </c>
      <c r="S376" t="str">
        <f t="shared" si="29"/>
        <v>MASA-SAND-SEHPA-ZİGON</v>
      </c>
      <c r="T376" t="str">
        <f t="shared" si="25"/>
        <v>mssz</v>
      </c>
    </row>
    <row r="377" spans="1:20" x14ac:dyDescent="0.25">
      <c r="A377" t="s">
        <v>1422</v>
      </c>
      <c r="B377">
        <v>589</v>
      </c>
      <c r="C377" t="s">
        <v>1518</v>
      </c>
      <c r="D377" t="s">
        <v>346</v>
      </c>
      <c r="E377">
        <v>2100</v>
      </c>
      <c r="F377" t="s">
        <v>0</v>
      </c>
      <c r="G377" t="s">
        <v>1424</v>
      </c>
      <c r="H377" t="s">
        <v>1425</v>
      </c>
      <c r="I377" t="s">
        <v>1426</v>
      </c>
      <c r="J377" t="s">
        <v>1426</v>
      </c>
      <c r="O377">
        <v>634</v>
      </c>
      <c r="P377" t="str">
        <f t="shared" si="26"/>
        <v>ZİGON PİYANO MDF YUVARLAK</v>
      </c>
      <c r="Q377" s="1">
        <f t="shared" si="27"/>
        <v>9500</v>
      </c>
      <c r="R377" t="str">
        <f t="shared" si="28"/>
        <v>TL</v>
      </c>
      <c r="S377" t="str">
        <f t="shared" si="29"/>
        <v>MASA-SAND-SEHPA-ZİGON</v>
      </c>
      <c r="T377" t="str">
        <f t="shared" si="25"/>
        <v>mssz</v>
      </c>
    </row>
    <row r="378" spans="1:20" x14ac:dyDescent="0.25">
      <c r="A378" t="s">
        <v>1422</v>
      </c>
      <c r="B378">
        <v>590</v>
      </c>
      <c r="C378" t="s">
        <v>1516</v>
      </c>
      <c r="D378" t="s">
        <v>347</v>
      </c>
      <c r="E378">
        <v>2450</v>
      </c>
      <c r="F378" t="s">
        <v>0</v>
      </c>
      <c r="G378" t="s">
        <v>1424</v>
      </c>
      <c r="H378" t="s">
        <v>1425</v>
      </c>
      <c r="I378" t="s">
        <v>1426</v>
      </c>
      <c r="J378" t="s">
        <v>1426</v>
      </c>
      <c r="O378">
        <v>635</v>
      </c>
      <c r="P378" t="str">
        <f t="shared" si="26"/>
        <v>ZİGON POTA CAMLI</v>
      </c>
      <c r="Q378" s="1">
        <f t="shared" si="27"/>
        <v>3000</v>
      </c>
      <c r="R378" t="str">
        <f t="shared" si="28"/>
        <v>TL</v>
      </c>
      <c r="S378" t="str">
        <f t="shared" si="29"/>
        <v>MASA-SAND-SEHPA-ZİGON</v>
      </c>
      <c r="T378" t="str">
        <f t="shared" si="25"/>
        <v>mssz</v>
      </c>
    </row>
    <row r="379" spans="1:20" x14ac:dyDescent="0.25">
      <c r="A379" t="s">
        <v>1422</v>
      </c>
      <c r="B379">
        <v>591</v>
      </c>
      <c r="C379" t="s">
        <v>1515</v>
      </c>
      <c r="D379" t="s">
        <v>348</v>
      </c>
      <c r="E379">
        <v>1150</v>
      </c>
      <c r="F379" t="s">
        <v>0</v>
      </c>
      <c r="G379" t="s">
        <v>1424</v>
      </c>
      <c r="H379" t="s">
        <v>1425</v>
      </c>
      <c r="I379" t="s">
        <v>1426</v>
      </c>
      <c r="J379" t="s">
        <v>1426</v>
      </c>
      <c r="O379">
        <v>636</v>
      </c>
      <c r="P379" t="str">
        <f t="shared" si="26"/>
        <v>ZİGON TEKERLİ GOLD</v>
      </c>
      <c r="Q379" s="1">
        <f t="shared" si="27"/>
        <v>0</v>
      </c>
      <c r="R379" t="str">
        <f t="shared" si="28"/>
        <v>TL</v>
      </c>
      <c r="S379" t="str">
        <f t="shared" si="29"/>
        <v>MASA-SAND-SEHPA-ZİGON</v>
      </c>
      <c r="T379" t="str">
        <f t="shared" si="25"/>
        <v>mssz</v>
      </c>
    </row>
    <row r="380" spans="1:20" x14ac:dyDescent="0.25">
      <c r="A380" t="s">
        <v>1422</v>
      </c>
      <c r="B380">
        <v>592</v>
      </c>
      <c r="C380" t="s">
        <v>1513</v>
      </c>
      <c r="D380" t="s">
        <v>349</v>
      </c>
      <c r="E380">
        <v>1150</v>
      </c>
      <c r="F380" t="s">
        <v>0</v>
      </c>
      <c r="G380" t="s">
        <v>1424</v>
      </c>
      <c r="H380" t="s">
        <v>1425</v>
      </c>
      <c r="I380" t="s">
        <v>1426</v>
      </c>
      <c r="J380" t="s">
        <v>1426</v>
      </c>
      <c r="O380">
        <v>637</v>
      </c>
      <c r="P380" t="str">
        <f t="shared" si="26"/>
        <v>ZİGON TEKERLİ NİKEL</v>
      </c>
      <c r="Q380" s="1">
        <f t="shared" si="27"/>
        <v>0</v>
      </c>
      <c r="R380" t="str">
        <f t="shared" si="28"/>
        <v>TL</v>
      </c>
      <c r="S380" t="str">
        <f t="shared" si="29"/>
        <v>MASA-SAND-SEHPA-ZİGON</v>
      </c>
      <c r="T380" t="str">
        <f t="shared" ref="T380:T442" si="30">IF(S380="KEA","kea",IF(S380="MOBİLYA","mobilya",IF(S380="TÜP","tup",IF(S380="MASA-SAND-SEHPA-ZİGON","mssz",IF(S380="ENDÜSTRİYEL","endustriyel",IF(S380="YEDEK PARÇA","diger",""))))))</f>
        <v>mssz</v>
      </c>
    </row>
    <row r="381" spans="1:20" x14ac:dyDescent="0.25">
      <c r="A381" t="s">
        <v>1422</v>
      </c>
      <c r="B381">
        <v>594</v>
      </c>
      <c r="C381" t="s">
        <v>1504</v>
      </c>
      <c r="D381" t="s">
        <v>350</v>
      </c>
      <c r="E381">
        <v>3750</v>
      </c>
      <c r="F381" t="s">
        <v>0</v>
      </c>
      <c r="G381" t="s">
        <v>1424</v>
      </c>
      <c r="H381" t="s">
        <v>1425</v>
      </c>
      <c r="I381" t="s">
        <v>1426</v>
      </c>
      <c r="J381" t="s">
        <v>1426</v>
      </c>
      <c r="O381">
        <v>638</v>
      </c>
      <c r="P381" t="str">
        <f t="shared" ref="P381:P443" si="31">IFERROR(VLOOKUP(O381,$M:$N,2,0), VLOOKUP(O381,$B:$D,3,0))</f>
        <v>ZİGON TEKERLİ SİYAH</v>
      </c>
      <c r="Q381" s="1">
        <f t="shared" ref="Q381:Q443" si="32">VLOOKUP(O381,$B:$E,4,0)*2</f>
        <v>0</v>
      </c>
      <c r="R381" t="str">
        <f t="shared" ref="R381:R443" si="33">VLOOKUP(O381,$B:$F,5,0)</f>
        <v>TL</v>
      </c>
      <c r="S381" t="str">
        <f t="shared" ref="S381:S443" si="34">VLOOKUP(O381,$B:$G,6,0)</f>
        <v>MASA-SAND-SEHPA-ZİGON</v>
      </c>
      <c r="T381" t="str">
        <f t="shared" si="30"/>
        <v>mssz</v>
      </c>
    </row>
    <row r="382" spans="1:20" x14ac:dyDescent="0.25">
      <c r="A382" t="s">
        <v>1422</v>
      </c>
      <c r="B382">
        <v>595</v>
      </c>
      <c r="C382" t="s">
        <v>1503</v>
      </c>
      <c r="D382" t="s">
        <v>351</v>
      </c>
      <c r="E382">
        <v>3750</v>
      </c>
      <c r="F382" t="s">
        <v>0</v>
      </c>
      <c r="G382" t="s">
        <v>1424</v>
      </c>
      <c r="H382" t="s">
        <v>1425</v>
      </c>
      <c r="I382" t="s">
        <v>1426</v>
      </c>
      <c r="J382" t="s">
        <v>1426</v>
      </c>
      <c r="O382">
        <v>639</v>
      </c>
      <c r="P382" t="str">
        <f t="shared" si="31"/>
        <v xml:space="preserve">ZİGON TEPSİ CAMLI </v>
      </c>
      <c r="Q382" s="1">
        <f t="shared" si="32"/>
        <v>0</v>
      </c>
      <c r="R382" t="str">
        <f t="shared" si="33"/>
        <v>TL</v>
      </c>
      <c r="S382" t="str">
        <f t="shared" si="34"/>
        <v>MASA-SAND-SEHPA-ZİGON</v>
      </c>
      <c r="T382" t="str">
        <f t="shared" si="30"/>
        <v>mssz</v>
      </c>
    </row>
    <row r="383" spans="1:20" x14ac:dyDescent="0.25">
      <c r="A383" t="s">
        <v>1422</v>
      </c>
      <c r="B383">
        <v>596</v>
      </c>
      <c r="C383" t="s">
        <v>1501</v>
      </c>
      <c r="D383" t="s">
        <v>352</v>
      </c>
      <c r="E383">
        <v>3750</v>
      </c>
      <c r="F383" t="s">
        <v>0</v>
      </c>
      <c r="G383" t="s">
        <v>1424</v>
      </c>
      <c r="H383" t="s">
        <v>1425</v>
      </c>
      <c r="I383" t="s">
        <v>1426</v>
      </c>
      <c r="J383" t="s">
        <v>1426</v>
      </c>
      <c r="O383">
        <v>640</v>
      </c>
      <c r="P383" t="str">
        <f t="shared" si="31"/>
        <v>ZİGON TEPSİ TND</v>
      </c>
      <c r="Q383" s="1">
        <f t="shared" si="32"/>
        <v>0</v>
      </c>
      <c r="R383" t="str">
        <f t="shared" si="33"/>
        <v>TL</v>
      </c>
      <c r="S383" t="str">
        <f t="shared" si="34"/>
        <v>MASA-SAND-SEHPA-ZİGON</v>
      </c>
      <c r="T383" t="str">
        <f t="shared" si="30"/>
        <v>mssz</v>
      </c>
    </row>
    <row r="384" spans="1:20" x14ac:dyDescent="0.25">
      <c r="A384" t="s">
        <v>1422</v>
      </c>
      <c r="B384">
        <v>598</v>
      </c>
      <c r="C384" t="s">
        <v>1499</v>
      </c>
      <c r="D384" t="s">
        <v>353</v>
      </c>
      <c r="E384">
        <v>1050</v>
      </c>
      <c r="F384" t="s">
        <v>0</v>
      </c>
      <c r="G384" t="s">
        <v>1424</v>
      </c>
      <c r="H384" t="s">
        <v>1425</v>
      </c>
      <c r="I384" t="s">
        <v>1426</v>
      </c>
      <c r="J384" t="s">
        <v>1426</v>
      </c>
      <c r="O384">
        <v>641</v>
      </c>
      <c r="P384" t="str">
        <f t="shared" si="31"/>
        <v xml:space="preserve">ZİGON TEPSİ YENİ YILDIZ </v>
      </c>
      <c r="Q384" s="1">
        <f t="shared" si="32"/>
        <v>0</v>
      </c>
      <c r="R384" t="str">
        <f t="shared" si="33"/>
        <v>TL</v>
      </c>
      <c r="S384" t="str">
        <f t="shared" si="34"/>
        <v>MASA-SAND-SEHPA-ZİGON</v>
      </c>
      <c r="T384" t="str">
        <f t="shared" si="30"/>
        <v>mssz</v>
      </c>
    </row>
    <row r="385" spans="1:20" x14ac:dyDescent="0.25">
      <c r="A385" t="s">
        <v>1422</v>
      </c>
      <c r="B385">
        <v>599</v>
      </c>
      <c r="C385" t="s">
        <v>1497</v>
      </c>
      <c r="D385" t="s">
        <v>354</v>
      </c>
      <c r="E385">
        <v>0</v>
      </c>
      <c r="F385" t="s">
        <v>0</v>
      </c>
      <c r="G385" t="s">
        <v>1424</v>
      </c>
      <c r="H385" t="s">
        <v>1425</v>
      </c>
      <c r="I385" t="s">
        <v>1426</v>
      </c>
      <c r="J385" t="s">
        <v>1426</v>
      </c>
      <c r="O385">
        <v>642</v>
      </c>
      <c r="P385" t="str">
        <f t="shared" si="31"/>
        <v>ZİGON YUVARLAK CAMLI KUĞU</v>
      </c>
      <c r="Q385" s="1">
        <f t="shared" si="32"/>
        <v>0</v>
      </c>
      <c r="R385" t="str">
        <f t="shared" si="33"/>
        <v>TL</v>
      </c>
      <c r="S385" t="str">
        <f t="shared" si="34"/>
        <v>MASA-SAND-SEHPA-ZİGON</v>
      </c>
      <c r="T385" t="str">
        <f t="shared" si="30"/>
        <v>mssz</v>
      </c>
    </row>
    <row r="386" spans="1:20" x14ac:dyDescent="0.25">
      <c r="A386" t="s">
        <v>1422</v>
      </c>
      <c r="B386">
        <v>600</v>
      </c>
      <c r="C386" t="s">
        <v>1495</v>
      </c>
      <c r="D386" t="s">
        <v>355</v>
      </c>
      <c r="E386">
        <v>0</v>
      </c>
      <c r="F386" t="s">
        <v>0</v>
      </c>
      <c r="G386" t="s">
        <v>1424</v>
      </c>
      <c r="H386" t="s">
        <v>1425</v>
      </c>
      <c r="I386" t="s">
        <v>1426</v>
      </c>
      <c r="J386" t="s">
        <v>1426</v>
      </c>
      <c r="O386">
        <v>643</v>
      </c>
      <c r="P386" t="str">
        <f t="shared" si="31"/>
        <v>ÇAY OCAĞI KAPLANLI 10'LUK DG</v>
      </c>
      <c r="Q386" s="1">
        <f t="shared" si="32"/>
        <v>10800</v>
      </c>
      <c r="R386" t="str">
        <f t="shared" si="33"/>
        <v>TL</v>
      </c>
      <c r="S386" t="str">
        <f t="shared" si="34"/>
        <v>ENDÜSTRİYEL</v>
      </c>
      <c r="T386" t="str">
        <f t="shared" si="30"/>
        <v>endustriyel</v>
      </c>
    </row>
    <row r="387" spans="1:20" x14ac:dyDescent="0.25">
      <c r="A387" t="s">
        <v>1422</v>
      </c>
      <c r="B387">
        <v>601</v>
      </c>
      <c r="C387" t="s">
        <v>1493</v>
      </c>
      <c r="D387" t="s">
        <v>356</v>
      </c>
      <c r="E387">
        <v>0</v>
      </c>
      <c r="F387" t="s">
        <v>0</v>
      </c>
      <c r="G387" t="s">
        <v>1424</v>
      </c>
      <c r="H387" t="s">
        <v>1425</v>
      </c>
      <c r="I387" t="s">
        <v>1426</v>
      </c>
      <c r="J387" t="s">
        <v>1426</v>
      </c>
      <c r="O387">
        <v>644</v>
      </c>
      <c r="P387" t="str">
        <f t="shared" si="31"/>
        <v>ÇAY OCAĞI KAPLANLI 10'LUK LPG</v>
      </c>
      <c r="Q387" s="1">
        <f t="shared" si="32"/>
        <v>10800</v>
      </c>
      <c r="R387" t="str">
        <f t="shared" si="33"/>
        <v>TL</v>
      </c>
      <c r="S387" t="str">
        <f t="shared" si="34"/>
        <v>ENDÜSTRİYEL</v>
      </c>
      <c r="T387" t="str">
        <f t="shared" si="30"/>
        <v>endustriyel</v>
      </c>
    </row>
    <row r="388" spans="1:20" x14ac:dyDescent="0.25">
      <c r="A388" t="s">
        <v>1422</v>
      </c>
      <c r="B388">
        <v>609</v>
      </c>
      <c r="C388" t="s">
        <v>1511</v>
      </c>
      <c r="D388" t="s">
        <v>357</v>
      </c>
      <c r="E388">
        <v>3800</v>
      </c>
      <c r="F388" t="s">
        <v>0</v>
      </c>
      <c r="G388" t="s">
        <v>1424</v>
      </c>
      <c r="H388" t="s">
        <v>1425</v>
      </c>
      <c r="I388" t="s">
        <v>1426</v>
      </c>
      <c r="J388" t="s">
        <v>1426</v>
      </c>
      <c r="O388">
        <v>645</v>
      </c>
      <c r="P388" t="str">
        <f t="shared" si="31"/>
        <v>KAZAN KAPLANLI 10'LUK DÜZ ELEKTRİKLİ</v>
      </c>
      <c r="Q388" s="1">
        <f t="shared" si="32"/>
        <v>5800</v>
      </c>
      <c r="R388" t="str">
        <f t="shared" si="33"/>
        <v>TL</v>
      </c>
      <c r="S388" t="str">
        <f t="shared" si="34"/>
        <v>ENDÜSTRİYEL</v>
      </c>
      <c r="T388" t="str">
        <f t="shared" si="30"/>
        <v>endustriyel</v>
      </c>
    </row>
    <row r="389" spans="1:20" x14ac:dyDescent="0.25">
      <c r="A389" t="s">
        <v>1422</v>
      </c>
      <c r="B389">
        <v>615</v>
      </c>
      <c r="C389" t="s">
        <v>1491</v>
      </c>
      <c r="D389" t="s">
        <v>809</v>
      </c>
      <c r="E389">
        <v>0</v>
      </c>
      <c r="F389" t="s">
        <v>0</v>
      </c>
      <c r="G389" t="s">
        <v>1424</v>
      </c>
      <c r="H389" t="s">
        <v>1425</v>
      </c>
      <c r="I389" t="s">
        <v>1426</v>
      </c>
      <c r="J389" t="s">
        <v>1426</v>
      </c>
      <c r="O389">
        <v>646</v>
      </c>
      <c r="P389" t="str">
        <f t="shared" si="31"/>
        <v>KAZAN KAPLANLI 10'LUK TEK</v>
      </c>
      <c r="Q389" s="1">
        <f t="shared" si="32"/>
        <v>3540</v>
      </c>
      <c r="R389" t="str">
        <f t="shared" si="33"/>
        <v>TL</v>
      </c>
      <c r="S389" t="str">
        <f t="shared" si="34"/>
        <v>ENDÜSTRİYEL</v>
      </c>
      <c r="T389" t="str">
        <f t="shared" si="30"/>
        <v>endustriyel</v>
      </c>
    </row>
    <row r="390" spans="1:20" x14ac:dyDescent="0.25">
      <c r="A390" t="s">
        <v>1422</v>
      </c>
      <c r="B390">
        <v>616</v>
      </c>
      <c r="C390" t="s">
        <v>1489</v>
      </c>
      <c r="D390" t="s">
        <v>358</v>
      </c>
      <c r="E390">
        <v>5000</v>
      </c>
      <c r="F390" t="s">
        <v>0</v>
      </c>
      <c r="G390" t="s">
        <v>1424</v>
      </c>
      <c r="H390" t="s">
        <v>1425</v>
      </c>
      <c r="I390" t="s">
        <v>1426</v>
      </c>
      <c r="J390" t="s">
        <v>1426</v>
      </c>
      <c r="O390">
        <v>647</v>
      </c>
      <c r="P390" t="str">
        <f t="shared" si="31"/>
        <v>ÇAY OCAĞI KAPLANLI 20'LİK DG</v>
      </c>
      <c r="Q390" s="1">
        <f t="shared" si="32"/>
        <v>10900</v>
      </c>
      <c r="R390" t="str">
        <f t="shared" si="33"/>
        <v>TL</v>
      </c>
      <c r="S390" t="str">
        <f t="shared" si="34"/>
        <v>ENDÜSTRİYEL</v>
      </c>
      <c r="T390" t="str">
        <f t="shared" si="30"/>
        <v>endustriyel</v>
      </c>
    </row>
    <row r="391" spans="1:20" x14ac:dyDescent="0.25">
      <c r="A391" t="s">
        <v>1422</v>
      </c>
      <c r="B391">
        <v>617</v>
      </c>
      <c r="C391" t="s">
        <v>1487</v>
      </c>
      <c r="D391" t="s">
        <v>359</v>
      </c>
      <c r="E391">
        <v>5000</v>
      </c>
      <c r="F391" t="s">
        <v>0</v>
      </c>
      <c r="G391" t="s">
        <v>1424</v>
      </c>
      <c r="H391" t="s">
        <v>1425</v>
      </c>
      <c r="I391" t="s">
        <v>1426</v>
      </c>
      <c r="J391" t="s">
        <v>1426</v>
      </c>
      <c r="O391">
        <v>648</v>
      </c>
      <c r="P391" t="str">
        <f t="shared" si="31"/>
        <v>ÇAY OCAĞI KAPLANLI 20'LİK LPG</v>
      </c>
      <c r="Q391" s="1">
        <f t="shared" si="32"/>
        <v>10900</v>
      </c>
      <c r="R391" t="str">
        <f t="shared" si="33"/>
        <v>TL</v>
      </c>
      <c r="S391" t="str">
        <f t="shared" si="34"/>
        <v>ENDÜSTRİYEL</v>
      </c>
      <c r="T391" t="str">
        <f t="shared" si="30"/>
        <v>endustriyel</v>
      </c>
    </row>
    <row r="392" spans="1:20" x14ac:dyDescent="0.25">
      <c r="A392" t="s">
        <v>1422</v>
      </c>
      <c r="B392">
        <v>618</v>
      </c>
      <c r="C392" t="s">
        <v>1485</v>
      </c>
      <c r="D392" t="s">
        <v>360</v>
      </c>
      <c r="E392">
        <v>5000</v>
      </c>
      <c r="F392" t="s">
        <v>0</v>
      </c>
      <c r="G392" t="s">
        <v>1424</v>
      </c>
      <c r="H392" t="s">
        <v>1425</v>
      </c>
      <c r="I392" t="s">
        <v>1426</v>
      </c>
      <c r="J392" t="s">
        <v>1426</v>
      </c>
      <c r="O392">
        <v>649</v>
      </c>
      <c r="P392" t="str">
        <f t="shared" si="31"/>
        <v>KAZAN KAPLANLI 20'LİK DÜZ ELEKTRİKLİ</v>
      </c>
      <c r="Q392" s="1">
        <f t="shared" si="32"/>
        <v>6900</v>
      </c>
      <c r="R392" t="str">
        <f t="shared" si="33"/>
        <v>TL</v>
      </c>
      <c r="S392" t="str">
        <f t="shared" si="34"/>
        <v>ENDÜSTRİYEL</v>
      </c>
      <c r="T392" t="str">
        <f t="shared" si="30"/>
        <v>endustriyel</v>
      </c>
    </row>
    <row r="393" spans="1:20" x14ac:dyDescent="0.25">
      <c r="A393" t="s">
        <v>1422</v>
      </c>
      <c r="B393">
        <v>619</v>
      </c>
      <c r="C393" t="s">
        <v>1483</v>
      </c>
      <c r="D393" t="s">
        <v>361</v>
      </c>
      <c r="E393">
        <v>5000</v>
      </c>
      <c r="F393" t="s">
        <v>0</v>
      </c>
      <c r="G393" t="s">
        <v>1424</v>
      </c>
      <c r="H393" t="s">
        <v>1425</v>
      </c>
      <c r="I393" t="s">
        <v>1426</v>
      </c>
      <c r="J393" t="s">
        <v>1426</v>
      </c>
      <c r="O393">
        <v>650</v>
      </c>
      <c r="P393" t="str">
        <f t="shared" si="31"/>
        <v>KAZAN KAPLANLI 20'LİK ELEKTRİKLİ TAKIM</v>
      </c>
      <c r="Q393" s="1">
        <f t="shared" si="32"/>
        <v>8850</v>
      </c>
      <c r="R393" t="str">
        <f t="shared" si="33"/>
        <v>TL</v>
      </c>
      <c r="S393" t="str">
        <f t="shared" si="34"/>
        <v>ENDÜSTRİYEL</v>
      </c>
      <c r="T393" t="str">
        <f t="shared" si="30"/>
        <v>endustriyel</v>
      </c>
    </row>
    <row r="394" spans="1:20" x14ac:dyDescent="0.25">
      <c r="A394" t="s">
        <v>1422</v>
      </c>
      <c r="B394">
        <v>620</v>
      </c>
      <c r="C394" t="s">
        <v>1481</v>
      </c>
      <c r="D394" t="s">
        <v>362</v>
      </c>
      <c r="E394">
        <v>1500</v>
      </c>
      <c r="F394" t="s">
        <v>0</v>
      </c>
      <c r="G394" t="s">
        <v>1424</v>
      </c>
      <c r="H394" t="s">
        <v>1425</v>
      </c>
      <c r="I394" t="s">
        <v>1426</v>
      </c>
      <c r="J394" t="s">
        <v>1426</v>
      </c>
      <c r="O394">
        <v>651</v>
      </c>
      <c r="P394" t="str">
        <f t="shared" si="31"/>
        <v>KAZAN KAPLANLI 20'LİK TEK</v>
      </c>
      <c r="Q394" s="1">
        <f t="shared" si="32"/>
        <v>3900</v>
      </c>
      <c r="R394" t="str">
        <f t="shared" si="33"/>
        <v>TL</v>
      </c>
      <c r="S394" t="str">
        <f t="shared" si="34"/>
        <v>ENDÜSTRİYEL</v>
      </c>
      <c r="T394" t="str">
        <f t="shared" si="30"/>
        <v>endustriyel</v>
      </c>
    </row>
    <row r="395" spans="1:20" x14ac:dyDescent="0.25">
      <c r="A395" t="s">
        <v>1422</v>
      </c>
      <c r="B395">
        <v>621</v>
      </c>
      <c r="C395" t="s">
        <v>1479</v>
      </c>
      <c r="D395" t="s">
        <v>363</v>
      </c>
      <c r="E395">
        <v>1500</v>
      </c>
      <c r="F395" t="s">
        <v>0</v>
      </c>
      <c r="G395" t="s">
        <v>1424</v>
      </c>
      <c r="H395" t="s">
        <v>1425</v>
      </c>
      <c r="I395" t="s">
        <v>1426</v>
      </c>
      <c r="J395" t="s">
        <v>1426</v>
      </c>
      <c r="O395">
        <v>652</v>
      </c>
      <c r="P395" t="str">
        <f t="shared" si="31"/>
        <v>3 LÜ TE</v>
      </c>
      <c r="Q395" s="1">
        <f t="shared" si="32"/>
        <v>100</v>
      </c>
      <c r="R395" t="str">
        <f t="shared" si="33"/>
        <v>TL</v>
      </c>
      <c r="S395" t="str">
        <f t="shared" si="34"/>
        <v>TÜP</v>
      </c>
      <c r="T395" t="str">
        <f t="shared" si="30"/>
        <v>tup</v>
      </c>
    </row>
    <row r="396" spans="1:20" x14ac:dyDescent="0.25">
      <c r="A396" t="s">
        <v>1422</v>
      </c>
      <c r="B396">
        <v>622</v>
      </c>
      <c r="C396" t="s">
        <v>1477</v>
      </c>
      <c r="D396" t="s">
        <v>364</v>
      </c>
      <c r="E396">
        <v>1500</v>
      </c>
      <c r="F396" t="s">
        <v>0</v>
      </c>
      <c r="G396" t="s">
        <v>1424</v>
      </c>
      <c r="H396" t="s">
        <v>1425</v>
      </c>
      <c r="I396" t="s">
        <v>1426</v>
      </c>
      <c r="J396" t="s">
        <v>1426</v>
      </c>
      <c r="O396">
        <v>653</v>
      </c>
      <c r="P396" t="str">
        <f t="shared" si="31"/>
        <v>ÇAY OCAĞI KAPLANLI 30-40'LIK DG</v>
      </c>
      <c r="Q396" s="1">
        <f t="shared" si="32"/>
        <v>11200</v>
      </c>
      <c r="R396" t="str">
        <f t="shared" si="33"/>
        <v>TL</v>
      </c>
      <c r="S396" t="str">
        <f t="shared" si="34"/>
        <v>ENDÜSTRİYEL</v>
      </c>
      <c r="T396" t="str">
        <f t="shared" si="30"/>
        <v>endustriyel</v>
      </c>
    </row>
    <row r="397" spans="1:20" x14ac:dyDescent="0.25">
      <c r="A397" t="s">
        <v>1422</v>
      </c>
      <c r="B397">
        <v>623</v>
      </c>
      <c r="C397" t="s">
        <v>1460</v>
      </c>
      <c r="D397" t="s">
        <v>1461</v>
      </c>
      <c r="E397">
        <v>0</v>
      </c>
      <c r="F397" t="s">
        <v>0</v>
      </c>
      <c r="G397" t="s">
        <v>1424</v>
      </c>
      <c r="H397" t="s">
        <v>1425</v>
      </c>
      <c r="I397" t="s">
        <v>1426</v>
      </c>
      <c r="J397" t="s">
        <v>1426</v>
      </c>
      <c r="O397">
        <v>654</v>
      </c>
      <c r="P397" t="str">
        <f t="shared" si="31"/>
        <v>ÇAY OCAĞI KAPLANLI 30-40'LIK LPG</v>
      </c>
      <c r="Q397" s="1">
        <f t="shared" si="32"/>
        <v>11200</v>
      </c>
      <c r="R397" t="str">
        <f t="shared" si="33"/>
        <v>TL</v>
      </c>
      <c r="S397" t="str">
        <f t="shared" si="34"/>
        <v>ENDÜSTRİYEL</v>
      </c>
      <c r="T397" t="str">
        <f t="shared" si="30"/>
        <v>endustriyel</v>
      </c>
    </row>
    <row r="398" spans="1:20" x14ac:dyDescent="0.25">
      <c r="A398" t="s">
        <v>1422</v>
      </c>
      <c r="B398">
        <v>624</v>
      </c>
      <c r="C398" t="s">
        <v>1457</v>
      </c>
      <c r="D398" t="s">
        <v>1458</v>
      </c>
      <c r="E398">
        <v>0</v>
      </c>
      <c r="F398" t="s">
        <v>0</v>
      </c>
      <c r="G398" t="s">
        <v>1424</v>
      </c>
      <c r="H398" t="s">
        <v>1425</v>
      </c>
      <c r="I398" t="s">
        <v>1426</v>
      </c>
      <c r="J398" t="s">
        <v>1426</v>
      </c>
      <c r="O398">
        <v>655</v>
      </c>
      <c r="P398" t="str">
        <f t="shared" si="31"/>
        <v>KAZAN KAPLANLI 30'LUK DÜZ ELEKTRİKLİ</v>
      </c>
      <c r="Q398" s="1">
        <f t="shared" si="32"/>
        <v>8700</v>
      </c>
      <c r="R398" t="str">
        <f t="shared" si="33"/>
        <v>TL</v>
      </c>
      <c r="S398" t="str">
        <f t="shared" si="34"/>
        <v>ENDÜSTRİYEL</v>
      </c>
      <c r="T398" t="str">
        <f t="shared" si="30"/>
        <v>endustriyel</v>
      </c>
    </row>
    <row r="399" spans="1:20" x14ac:dyDescent="0.25">
      <c r="A399" t="s">
        <v>1422</v>
      </c>
      <c r="B399">
        <v>625</v>
      </c>
      <c r="C399" t="s">
        <v>1454</v>
      </c>
      <c r="D399" t="s">
        <v>1455</v>
      </c>
      <c r="E399">
        <v>0</v>
      </c>
      <c r="F399" t="s">
        <v>0</v>
      </c>
      <c r="G399" t="s">
        <v>1424</v>
      </c>
      <c r="H399" t="s">
        <v>1425</v>
      </c>
      <c r="I399" t="s">
        <v>1426</v>
      </c>
      <c r="J399" t="s">
        <v>1426</v>
      </c>
      <c r="O399">
        <v>656</v>
      </c>
      <c r="P399" t="str">
        <f t="shared" si="31"/>
        <v>KAZAN KAPLANLI 30'LUK ELKTRİKLİ TAKIM</v>
      </c>
      <c r="Q399" s="1">
        <f t="shared" si="32"/>
        <v>12350</v>
      </c>
      <c r="R399" t="str">
        <f t="shared" si="33"/>
        <v>TL</v>
      </c>
      <c r="S399" t="str">
        <f t="shared" si="34"/>
        <v>ENDÜSTRİYEL</v>
      </c>
      <c r="T399" t="str">
        <f t="shared" si="30"/>
        <v>endustriyel</v>
      </c>
    </row>
    <row r="400" spans="1:20" x14ac:dyDescent="0.25">
      <c r="A400" t="s">
        <v>1422</v>
      </c>
      <c r="B400">
        <v>626</v>
      </c>
      <c r="C400" t="s">
        <v>1475</v>
      </c>
      <c r="D400" t="s">
        <v>365</v>
      </c>
      <c r="E400">
        <v>0</v>
      </c>
      <c r="F400" t="s">
        <v>0</v>
      </c>
      <c r="G400" t="s">
        <v>1424</v>
      </c>
      <c r="H400" t="s">
        <v>1425</v>
      </c>
      <c r="I400" t="s">
        <v>1426</v>
      </c>
      <c r="J400" t="s">
        <v>1426</v>
      </c>
      <c r="O400">
        <v>657</v>
      </c>
      <c r="P400" t="str">
        <f t="shared" si="31"/>
        <v>KAZAN KAPLANLI 30'LUK TEK</v>
      </c>
      <c r="Q400" s="1">
        <f t="shared" si="32"/>
        <v>4400</v>
      </c>
      <c r="R400" t="str">
        <f t="shared" si="33"/>
        <v>TL</v>
      </c>
      <c r="S400" t="str">
        <f t="shared" si="34"/>
        <v>ENDÜSTRİYEL</v>
      </c>
      <c r="T400" t="str">
        <f t="shared" si="30"/>
        <v>endustriyel</v>
      </c>
    </row>
    <row r="401" spans="1:20" x14ac:dyDescent="0.25">
      <c r="A401" t="s">
        <v>1422</v>
      </c>
      <c r="B401">
        <v>627</v>
      </c>
      <c r="C401" t="s">
        <v>1473</v>
      </c>
      <c r="D401" t="s">
        <v>366</v>
      </c>
      <c r="E401">
        <v>0</v>
      </c>
      <c r="F401" t="s">
        <v>0</v>
      </c>
      <c r="G401" t="s">
        <v>1424</v>
      </c>
      <c r="H401" t="s">
        <v>1425</v>
      </c>
      <c r="I401" t="s">
        <v>1426</v>
      </c>
      <c r="J401" t="s">
        <v>1426</v>
      </c>
      <c r="O401">
        <v>658</v>
      </c>
      <c r="P401" t="str">
        <f t="shared" si="31"/>
        <v>KAZAN KAPLANLI 40'LIK DÜZ ELEKTRİKLİ</v>
      </c>
      <c r="Q401" s="1">
        <f t="shared" si="32"/>
        <v>9300</v>
      </c>
      <c r="R401" t="str">
        <f t="shared" si="33"/>
        <v>TL</v>
      </c>
      <c r="S401" t="str">
        <f t="shared" si="34"/>
        <v>ENDÜSTRİYEL</v>
      </c>
      <c r="T401" t="str">
        <f t="shared" si="30"/>
        <v>endustriyel</v>
      </c>
    </row>
    <row r="402" spans="1:20" x14ac:dyDescent="0.25">
      <c r="A402" t="s">
        <v>1422</v>
      </c>
      <c r="B402">
        <v>628</v>
      </c>
      <c r="C402" t="s">
        <v>1471</v>
      </c>
      <c r="D402" t="s">
        <v>367</v>
      </c>
      <c r="E402">
        <v>5000</v>
      </c>
      <c r="F402" t="s">
        <v>0</v>
      </c>
      <c r="G402" t="s">
        <v>1424</v>
      </c>
      <c r="H402" t="s">
        <v>1425</v>
      </c>
      <c r="I402" t="s">
        <v>1426</v>
      </c>
      <c r="J402" t="s">
        <v>1426</v>
      </c>
      <c r="O402">
        <v>659</v>
      </c>
      <c r="P402" t="str">
        <f t="shared" si="31"/>
        <v>KAZAN KAPLANLI 40'LIK ELKTRİKLİ TAKIM</v>
      </c>
      <c r="Q402" s="1">
        <f t="shared" si="32"/>
        <v>12750</v>
      </c>
      <c r="R402" t="str">
        <f t="shared" si="33"/>
        <v>TL</v>
      </c>
      <c r="S402" t="str">
        <f t="shared" si="34"/>
        <v>ENDÜSTRİYEL</v>
      </c>
      <c r="T402" t="str">
        <f t="shared" si="30"/>
        <v>endustriyel</v>
      </c>
    </row>
    <row r="403" spans="1:20" x14ac:dyDescent="0.25">
      <c r="A403" t="s">
        <v>1422</v>
      </c>
      <c r="B403">
        <v>629</v>
      </c>
      <c r="C403" t="s">
        <v>1469</v>
      </c>
      <c r="D403" t="s">
        <v>368</v>
      </c>
      <c r="E403">
        <v>0</v>
      </c>
      <c r="F403" t="s">
        <v>0</v>
      </c>
      <c r="G403" t="s">
        <v>1424</v>
      </c>
      <c r="H403" t="s">
        <v>1425</v>
      </c>
      <c r="I403" t="s">
        <v>1426</v>
      </c>
      <c r="J403" t="s">
        <v>1426</v>
      </c>
      <c r="O403">
        <v>660</v>
      </c>
      <c r="P403" t="str">
        <f t="shared" si="31"/>
        <v>KAZAN KAPLANLI 40'LIK TEK</v>
      </c>
      <c r="Q403" s="1">
        <f t="shared" si="32"/>
        <v>4700</v>
      </c>
      <c r="R403" t="str">
        <f t="shared" si="33"/>
        <v>TL</v>
      </c>
      <c r="S403" t="str">
        <f t="shared" si="34"/>
        <v>ENDÜSTRİYEL</v>
      </c>
      <c r="T403" t="str">
        <f t="shared" si="30"/>
        <v>endustriyel</v>
      </c>
    </row>
    <row r="404" spans="1:20" x14ac:dyDescent="0.25">
      <c r="A404" t="s">
        <v>1422</v>
      </c>
      <c r="B404">
        <v>630</v>
      </c>
      <c r="C404" t="s">
        <v>1467</v>
      </c>
      <c r="D404" t="s">
        <v>369</v>
      </c>
      <c r="E404">
        <v>0</v>
      </c>
      <c r="F404" t="s">
        <v>0</v>
      </c>
      <c r="G404" t="s">
        <v>1424</v>
      </c>
      <c r="H404" t="s">
        <v>1425</v>
      </c>
      <c r="I404" t="s">
        <v>1426</v>
      </c>
      <c r="J404" t="s">
        <v>1426</v>
      </c>
      <c r="O404">
        <v>661</v>
      </c>
      <c r="P404" t="str">
        <f t="shared" si="31"/>
        <v>ÇAY OCAĞI KAPLANLI 55'LİK DG</v>
      </c>
      <c r="Q404" s="1">
        <f t="shared" si="32"/>
        <v>11700</v>
      </c>
      <c r="R404" t="str">
        <f t="shared" si="33"/>
        <v>TL</v>
      </c>
      <c r="S404" t="str">
        <f t="shared" si="34"/>
        <v>ENDÜSTRİYEL</v>
      </c>
      <c r="T404" t="str">
        <f t="shared" si="30"/>
        <v>endustriyel</v>
      </c>
    </row>
    <row r="405" spans="1:20" x14ac:dyDescent="0.25">
      <c r="A405" t="s">
        <v>1422</v>
      </c>
      <c r="B405">
        <v>631</v>
      </c>
      <c r="C405" t="s">
        <v>1465</v>
      </c>
      <c r="D405" t="s">
        <v>370</v>
      </c>
      <c r="E405">
        <v>0</v>
      </c>
      <c r="F405" t="s">
        <v>0</v>
      </c>
      <c r="G405" t="s">
        <v>1424</v>
      </c>
      <c r="H405" t="s">
        <v>1425</v>
      </c>
      <c r="I405" t="s">
        <v>1426</v>
      </c>
      <c r="J405" t="s">
        <v>1426</v>
      </c>
      <c r="O405">
        <v>662</v>
      </c>
      <c r="P405" t="str">
        <f t="shared" si="31"/>
        <v>ÇAY OCAĞI KAPLANLI 55'LİK LPG</v>
      </c>
      <c r="Q405" s="1">
        <f t="shared" si="32"/>
        <v>11700</v>
      </c>
      <c r="R405" t="str">
        <f t="shared" si="33"/>
        <v>TL</v>
      </c>
      <c r="S405" t="str">
        <f t="shared" si="34"/>
        <v>ENDÜSTRİYEL</v>
      </c>
      <c r="T405" t="str">
        <f t="shared" si="30"/>
        <v>endustriyel</v>
      </c>
    </row>
    <row r="406" spans="1:20" x14ac:dyDescent="0.25">
      <c r="A406" t="s">
        <v>1422</v>
      </c>
      <c r="B406">
        <v>632</v>
      </c>
      <c r="C406" t="s">
        <v>1463</v>
      </c>
      <c r="D406" t="s">
        <v>371</v>
      </c>
      <c r="E406">
        <v>0</v>
      </c>
      <c r="F406" t="s">
        <v>0</v>
      </c>
      <c r="G406" t="s">
        <v>1424</v>
      </c>
      <c r="H406" t="s">
        <v>1425</v>
      </c>
      <c r="I406" t="s">
        <v>1426</v>
      </c>
      <c r="J406" t="s">
        <v>1426</v>
      </c>
      <c r="O406">
        <v>663</v>
      </c>
      <c r="P406" t="str">
        <f t="shared" si="31"/>
        <v>KAZAN KAPLANLI 55'LİK DÜZ ELEKTİRKLİ</v>
      </c>
      <c r="Q406" s="1">
        <f t="shared" si="32"/>
        <v>11000</v>
      </c>
      <c r="R406" t="str">
        <f t="shared" si="33"/>
        <v>TL</v>
      </c>
      <c r="S406" t="str">
        <f t="shared" si="34"/>
        <v>ENDÜSTRİYEL</v>
      </c>
      <c r="T406" t="str">
        <f t="shared" si="30"/>
        <v>endustriyel</v>
      </c>
    </row>
    <row r="407" spans="1:20" x14ac:dyDescent="0.25">
      <c r="A407" t="s">
        <v>1422</v>
      </c>
      <c r="B407">
        <v>633</v>
      </c>
      <c r="C407" t="s">
        <v>1450</v>
      </c>
      <c r="D407" t="s">
        <v>372</v>
      </c>
      <c r="E407">
        <v>4500</v>
      </c>
      <c r="F407" t="s">
        <v>0</v>
      </c>
      <c r="G407" t="s">
        <v>1424</v>
      </c>
      <c r="H407" t="s">
        <v>1425</v>
      </c>
      <c r="I407" t="s">
        <v>1426</v>
      </c>
      <c r="J407" t="s">
        <v>1426</v>
      </c>
      <c r="O407">
        <v>664</v>
      </c>
      <c r="P407" t="str">
        <f t="shared" si="31"/>
        <v>KAZAN KAPLANLI 55'LİK ELEKTRİKLİ TÜPLÜ</v>
      </c>
      <c r="Q407" s="1">
        <f t="shared" si="32"/>
        <v>20160</v>
      </c>
      <c r="R407" t="str">
        <f t="shared" si="33"/>
        <v>TL</v>
      </c>
      <c r="S407" t="str">
        <f t="shared" si="34"/>
        <v>ENDÜSTRİYEL</v>
      </c>
      <c r="T407" t="str">
        <f t="shared" si="30"/>
        <v>endustriyel</v>
      </c>
    </row>
    <row r="408" spans="1:20" x14ac:dyDescent="0.25">
      <c r="A408" t="s">
        <v>1422</v>
      </c>
      <c r="B408">
        <v>634</v>
      </c>
      <c r="C408" t="s">
        <v>1446</v>
      </c>
      <c r="D408" t="s">
        <v>373</v>
      </c>
      <c r="E408">
        <v>4750</v>
      </c>
      <c r="F408" t="s">
        <v>0</v>
      </c>
      <c r="G408" t="s">
        <v>1424</v>
      </c>
      <c r="H408" t="s">
        <v>1425</v>
      </c>
      <c r="I408" t="s">
        <v>1426</v>
      </c>
      <c r="J408" t="s">
        <v>1426</v>
      </c>
      <c r="O408">
        <v>665</v>
      </c>
      <c r="P408" t="str">
        <f t="shared" si="31"/>
        <v xml:space="preserve">KAZAN KAPLANLI 55'LİK ELEKTRİKLİ TAKIM </v>
      </c>
      <c r="Q408" s="1">
        <f t="shared" si="32"/>
        <v>14280</v>
      </c>
      <c r="R408" t="str">
        <f t="shared" si="33"/>
        <v>TL</v>
      </c>
      <c r="S408" t="str">
        <f t="shared" si="34"/>
        <v>ENDÜSTRİYEL</v>
      </c>
      <c r="T408" t="str">
        <f t="shared" si="30"/>
        <v>endustriyel</v>
      </c>
    </row>
    <row r="409" spans="1:20" x14ac:dyDescent="0.25">
      <c r="A409" t="s">
        <v>1422</v>
      </c>
      <c r="B409">
        <v>635</v>
      </c>
      <c r="C409" t="s">
        <v>1444</v>
      </c>
      <c r="D409" t="s">
        <v>374</v>
      </c>
      <c r="E409">
        <v>1500</v>
      </c>
      <c r="F409" t="s">
        <v>0</v>
      </c>
      <c r="G409" t="s">
        <v>1424</v>
      </c>
      <c r="H409" t="s">
        <v>1425</v>
      </c>
      <c r="I409" t="s">
        <v>1426</v>
      </c>
      <c r="J409" t="s">
        <v>1426</v>
      </c>
      <c r="O409">
        <v>666</v>
      </c>
      <c r="P409" t="str">
        <f t="shared" si="31"/>
        <v>KAZAN KAPLANLI 55'LİK TEK</v>
      </c>
      <c r="Q409" s="1">
        <f t="shared" si="32"/>
        <v>5300</v>
      </c>
      <c r="R409" t="str">
        <f t="shared" si="33"/>
        <v>TL</v>
      </c>
      <c r="S409" t="str">
        <f t="shared" si="34"/>
        <v>ENDÜSTRİYEL</v>
      </c>
      <c r="T409" t="str">
        <f t="shared" si="30"/>
        <v>endustriyel</v>
      </c>
    </row>
    <row r="410" spans="1:20" x14ac:dyDescent="0.25">
      <c r="A410" t="s">
        <v>1422</v>
      </c>
      <c r="B410">
        <v>636</v>
      </c>
      <c r="C410" t="s">
        <v>1440</v>
      </c>
      <c r="D410" t="s">
        <v>375</v>
      </c>
      <c r="E410">
        <v>0</v>
      </c>
      <c r="F410" t="s">
        <v>0</v>
      </c>
      <c r="G410" t="s">
        <v>1424</v>
      </c>
      <c r="H410" t="s">
        <v>1425</v>
      </c>
      <c r="I410" t="s">
        <v>1426</v>
      </c>
      <c r="J410" t="s">
        <v>1426</v>
      </c>
      <c r="O410">
        <v>667</v>
      </c>
      <c r="P410" t="str">
        <f t="shared" si="31"/>
        <v>ALİMİNYUM PUL</v>
      </c>
      <c r="Q410" s="1">
        <f t="shared" si="32"/>
        <v>2</v>
      </c>
      <c r="R410" t="str">
        <f t="shared" si="33"/>
        <v>TL</v>
      </c>
      <c r="S410" t="str">
        <f t="shared" si="34"/>
        <v>TÜP</v>
      </c>
      <c r="T410" t="str">
        <f t="shared" si="30"/>
        <v>tup</v>
      </c>
    </row>
    <row r="411" spans="1:20" x14ac:dyDescent="0.25">
      <c r="A411" t="s">
        <v>1422</v>
      </c>
      <c r="B411">
        <v>637</v>
      </c>
      <c r="C411" t="s">
        <v>1438</v>
      </c>
      <c r="D411" t="s">
        <v>376</v>
      </c>
      <c r="E411">
        <v>0</v>
      </c>
      <c r="F411" t="s">
        <v>0</v>
      </c>
      <c r="G411" t="s">
        <v>1424</v>
      </c>
      <c r="H411" t="s">
        <v>1425</v>
      </c>
      <c r="I411" t="s">
        <v>1426</v>
      </c>
      <c r="J411" t="s">
        <v>1426</v>
      </c>
      <c r="O411">
        <v>668</v>
      </c>
      <c r="P411" t="str">
        <f t="shared" si="31"/>
        <v>ALTINBOĞA KİLİTLİ METAL DEDANTÖR 10MM</v>
      </c>
      <c r="Q411" s="1">
        <f t="shared" si="32"/>
        <v>800</v>
      </c>
      <c r="R411" t="str">
        <f t="shared" si="33"/>
        <v>TL</v>
      </c>
      <c r="S411" t="str">
        <f t="shared" si="34"/>
        <v>TÜP</v>
      </c>
      <c r="T411" t="str">
        <f t="shared" si="30"/>
        <v>tup</v>
      </c>
    </row>
    <row r="412" spans="1:20" x14ac:dyDescent="0.25">
      <c r="A412" t="s">
        <v>1422</v>
      </c>
      <c r="B412">
        <v>638</v>
      </c>
      <c r="C412" t="s">
        <v>1436</v>
      </c>
      <c r="D412" t="s">
        <v>377</v>
      </c>
      <c r="E412">
        <v>0</v>
      </c>
      <c r="F412" t="s">
        <v>0</v>
      </c>
      <c r="G412" t="s">
        <v>1424</v>
      </c>
      <c r="H412" t="s">
        <v>1425</v>
      </c>
      <c r="I412" t="s">
        <v>1426</v>
      </c>
      <c r="J412" t="s">
        <v>1426</v>
      </c>
      <c r="O412">
        <v>669</v>
      </c>
      <c r="P412" t="str">
        <f t="shared" si="31"/>
        <v>ALTINBOĞA KOMBİ DEDANTÖR</v>
      </c>
      <c r="Q412" s="1">
        <f t="shared" si="32"/>
        <v>0</v>
      </c>
      <c r="R412" t="str">
        <f t="shared" si="33"/>
        <v>TL</v>
      </c>
      <c r="S412" t="str">
        <f t="shared" si="34"/>
        <v>TÜP</v>
      </c>
      <c r="T412" t="str">
        <f t="shared" si="30"/>
        <v>tup</v>
      </c>
    </row>
    <row r="413" spans="1:20" x14ac:dyDescent="0.25">
      <c r="A413" t="s">
        <v>1422</v>
      </c>
      <c r="B413">
        <v>639</v>
      </c>
      <c r="C413" t="s">
        <v>1434</v>
      </c>
      <c r="D413" t="s">
        <v>378</v>
      </c>
      <c r="E413">
        <v>0</v>
      </c>
      <c r="F413" t="s">
        <v>0</v>
      </c>
      <c r="G413" t="s">
        <v>1424</v>
      </c>
      <c r="H413" t="s">
        <v>1425</v>
      </c>
      <c r="I413" t="s">
        <v>1426</v>
      </c>
      <c r="J413" t="s">
        <v>1426</v>
      </c>
      <c r="O413">
        <v>670</v>
      </c>
      <c r="P413" t="str">
        <f t="shared" si="31"/>
        <v>ALTINBOĞA NOVACOMENT DEDANTÖR 4 KG</v>
      </c>
      <c r="Q413" s="1">
        <f t="shared" si="32"/>
        <v>0</v>
      </c>
      <c r="R413" t="str">
        <f t="shared" si="33"/>
        <v>TL</v>
      </c>
      <c r="S413" t="str">
        <f t="shared" si="34"/>
        <v>TÜP</v>
      </c>
      <c r="T413" t="str">
        <f t="shared" si="30"/>
        <v>tup</v>
      </c>
    </row>
    <row r="414" spans="1:20" x14ac:dyDescent="0.25">
      <c r="A414" t="s">
        <v>1422</v>
      </c>
      <c r="B414">
        <v>640</v>
      </c>
      <c r="C414" t="s">
        <v>1432</v>
      </c>
      <c r="D414" t="s">
        <v>379</v>
      </c>
      <c r="E414">
        <v>0</v>
      </c>
      <c r="F414" t="s">
        <v>0</v>
      </c>
      <c r="G414" t="s">
        <v>1424</v>
      </c>
      <c r="H414" t="s">
        <v>1425</v>
      </c>
      <c r="I414" t="s">
        <v>1426</v>
      </c>
      <c r="J414" t="s">
        <v>1426</v>
      </c>
      <c r="O414">
        <v>671</v>
      </c>
      <c r="P414" t="str">
        <f t="shared" si="31"/>
        <v>ALTINBOĞA UFAK SANAYİ DEDANTÖR</v>
      </c>
      <c r="Q414" s="1">
        <f t="shared" si="32"/>
        <v>800</v>
      </c>
      <c r="R414" t="str">
        <f t="shared" si="33"/>
        <v>TL</v>
      </c>
      <c r="S414" t="str">
        <f t="shared" si="34"/>
        <v>TÜP</v>
      </c>
      <c r="T414" t="str">
        <f t="shared" si="30"/>
        <v>tup</v>
      </c>
    </row>
    <row r="415" spans="1:20" x14ac:dyDescent="0.25">
      <c r="A415" t="s">
        <v>1422</v>
      </c>
      <c r="B415">
        <v>641</v>
      </c>
      <c r="C415" t="s">
        <v>1430</v>
      </c>
      <c r="D415" t="s">
        <v>380</v>
      </c>
      <c r="E415">
        <v>0</v>
      </c>
      <c r="F415" t="s">
        <v>0</v>
      </c>
      <c r="G415" t="s">
        <v>1424</v>
      </c>
      <c r="H415" t="s">
        <v>1425</v>
      </c>
      <c r="I415" t="s">
        <v>1426</v>
      </c>
      <c r="J415" t="s">
        <v>1426</v>
      </c>
      <c r="O415">
        <v>672</v>
      </c>
      <c r="P415" t="str">
        <f t="shared" si="31"/>
        <v>ARÇELİK ALİMİNYUM BEK</v>
      </c>
      <c r="Q415" s="1">
        <f t="shared" si="32"/>
        <v>0</v>
      </c>
      <c r="R415" t="str">
        <f t="shared" si="33"/>
        <v>TL</v>
      </c>
      <c r="S415" t="str">
        <f t="shared" si="34"/>
        <v>TÜP</v>
      </c>
      <c r="T415" t="str">
        <f t="shared" si="30"/>
        <v>tup</v>
      </c>
    </row>
    <row r="416" spans="1:20" x14ac:dyDescent="0.25">
      <c r="A416" t="s">
        <v>1422</v>
      </c>
      <c r="B416">
        <v>642</v>
      </c>
      <c r="C416" t="s">
        <v>1423</v>
      </c>
      <c r="D416" t="s">
        <v>381</v>
      </c>
      <c r="E416">
        <v>0</v>
      </c>
      <c r="F416" t="s">
        <v>0</v>
      </c>
      <c r="G416" t="s">
        <v>1424</v>
      </c>
      <c r="H416" t="s">
        <v>1425</v>
      </c>
      <c r="I416" t="s">
        <v>1426</v>
      </c>
      <c r="J416" t="s">
        <v>1426</v>
      </c>
      <c r="O416">
        <v>673</v>
      </c>
      <c r="P416" t="str">
        <f t="shared" si="31"/>
        <v>MEME (DOĞALGAZ/LPG)</v>
      </c>
      <c r="Q416" s="1">
        <f t="shared" si="32"/>
        <v>70</v>
      </c>
      <c r="R416" t="str">
        <f t="shared" si="33"/>
        <v>TL</v>
      </c>
      <c r="S416" t="str">
        <f t="shared" si="34"/>
        <v>TÜP</v>
      </c>
      <c r="T416" t="str">
        <f t="shared" si="30"/>
        <v>tup</v>
      </c>
    </row>
    <row r="417" spans="1:20" x14ac:dyDescent="0.25">
      <c r="A417" t="s">
        <v>1422</v>
      </c>
      <c r="B417">
        <v>643</v>
      </c>
      <c r="C417" t="s">
        <v>2272</v>
      </c>
      <c r="D417" t="s">
        <v>382</v>
      </c>
      <c r="E417">
        <v>5400</v>
      </c>
      <c r="F417" t="s">
        <v>0</v>
      </c>
      <c r="G417" t="s">
        <v>1606</v>
      </c>
      <c r="H417" t="s">
        <v>1425</v>
      </c>
      <c r="I417" t="s">
        <v>1426</v>
      </c>
      <c r="J417" t="s">
        <v>1426</v>
      </c>
      <c r="O417">
        <v>674</v>
      </c>
      <c r="P417" t="str">
        <f t="shared" si="31"/>
        <v xml:space="preserve">AYGAZ HORTUM GİRİŞLİ MUSLUK </v>
      </c>
      <c r="Q417" s="1">
        <f t="shared" si="32"/>
        <v>180</v>
      </c>
      <c r="R417" t="str">
        <f t="shared" si="33"/>
        <v>TL</v>
      </c>
      <c r="S417" t="str">
        <f t="shared" si="34"/>
        <v>TÜP</v>
      </c>
      <c r="T417" t="str">
        <f t="shared" si="30"/>
        <v>tup</v>
      </c>
    </row>
    <row r="418" spans="1:20" x14ac:dyDescent="0.25">
      <c r="A418" t="s">
        <v>1422</v>
      </c>
      <c r="B418">
        <v>644</v>
      </c>
      <c r="C418" t="s">
        <v>2271</v>
      </c>
      <c r="D418" t="s">
        <v>383</v>
      </c>
      <c r="E418">
        <v>5400</v>
      </c>
      <c r="F418" t="s">
        <v>0</v>
      </c>
      <c r="G418" t="s">
        <v>1606</v>
      </c>
      <c r="H418" t="s">
        <v>1425</v>
      </c>
      <c r="I418" t="s">
        <v>1426</v>
      </c>
      <c r="J418" t="s">
        <v>1426</v>
      </c>
      <c r="O418">
        <v>675</v>
      </c>
      <c r="P418" t="str">
        <f t="shared" si="31"/>
        <v>AYGAZ MUSLUK</v>
      </c>
      <c r="Q418" s="1">
        <f t="shared" si="32"/>
        <v>170</v>
      </c>
      <c r="R418" t="str">
        <f t="shared" si="33"/>
        <v>TL</v>
      </c>
      <c r="S418" t="str">
        <f t="shared" si="34"/>
        <v>TÜP</v>
      </c>
      <c r="T418" t="str">
        <f t="shared" si="30"/>
        <v>tup</v>
      </c>
    </row>
    <row r="419" spans="1:20" x14ac:dyDescent="0.25">
      <c r="A419" t="s">
        <v>1422</v>
      </c>
      <c r="B419">
        <v>645</v>
      </c>
      <c r="C419" t="s">
        <v>2123</v>
      </c>
      <c r="D419" t="s">
        <v>384</v>
      </c>
      <c r="E419">
        <v>2900</v>
      </c>
      <c r="F419" t="s">
        <v>0</v>
      </c>
      <c r="G419" t="s">
        <v>1606</v>
      </c>
      <c r="H419" t="s">
        <v>1425</v>
      </c>
      <c r="I419" t="s">
        <v>1426</v>
      </c>
      <c r="J419" t="s">
        <v>1426</v>
      </c>
      <c r="O419">
        <v>676</v>
      </c>
      <c r="P419" t="str">
        <f t="shared" si="31"/>
        <v>BM DEBİLİ SANAYİ DEDANTÖR</v>
      </c>
      <c r="Q419" s="1">
        <f t="shared" si="32"/>
        <v>1300</v>
      </c>
      <c r="R419" t="str">
        <f t="shared" si="33"/>
        <v>TL</v>
      </c>
      <c r="S419" t="str">
        <f t="shared" si="34"/>
        <v>TÜP</v>
      </c>
      <c r="T419" t="str">
        <f t="shared" si="30"/>
        <v>tup</v>
      </c>
    </row>
    <row r="420" spans="1:20" x14ac:dyDescent="0.25">
      <c r="A420" t="s">
        <v>1422</v>
      </c>
      <c r="B420">
        <v>646</v>
      </c>
      <c r="C420" t="s">
        <v>2122</v>
      </c>
      <c r="D420" t="s">
        <v>385</v>
      </c>
      <c r="E420">
        <v>1770</v>
      </c>
      <c r="F420" t="s">
        <v>0</v>
      </c>
      <c r="G420" t="s">
        <v>1606</v>
      </c>
      <c r="H420" t="s">
        <v>1425</v>
      </c>
      <c r="I420" t="s">
        <v>1426</v>
      </c>
      <c r="J420" t="s">
        <v>1426</v>
      </c>
      <c r="O420">
        <v>677</v>
      </c>
      <c r="P420" t="str">
        <f t="shared" si="31"/>
        <v>BM METAL DEDANTÖR 8MM</v>
      </c>
      <c r="Q420" s="1">
        <f t="shared" si="32"/>
        <v>0</v>
      </c>
      <c r="R420" t="str">
        <f t="shared" si="33"/>
        <v>TL</v>
      </c>
      <c r="S420" t="str">
        <f t="shared" si="34"/>
        <v>TÜP</v>
      </c>
      <c r="T420" t="str">
        <f t="shared" si="30"/>
        <v>tup</v>
      </c>
    </row>
    <row r="421" spans="1:20" x14ac:dyDescent="0.25">
      <c r="A421" t="s">
        <v>1422</v>
      </c>
      <c r="B421">
        <v>647</v>
      </c>
      <c r="C421" t="s">
        <v>2270</v>
      </c>
      <c r="D421" t="s">
        <v>386</v>
      </c>
      <c r="E421">
        <v>5450</v>
      </c>
      <c r="F421" t="s">
        <v>0</v>
      </c>
      <c r="G421" t="s">
        <v>1606</v>
      </c>
      <c r="H421" t="s">
        <v>1425</v>
      </c>
      <c r="I421" t="s">
        <v>1426</v>
      </c>
      <c r="J421" t="s">
        <v>1426</v>
      </c>
      <c r="O421">
        <v>678</v>
      </c>
      <c r="P421" t="str">
        <f t="shared" si="31"/>
        <v>BM PLASTİK DEDANTÖR 10 MM</v>
      </c>
      <c r="Q421" s="1">
        <f t="shared" si="32"/>
        <v>0</v>
      </c>
      <c r="R421" t="str">
        <f t="shared" si="33"/>
        <v>TL</v>
      </c>
      <c r="S421" t="str">
        <f t="shared" si="34"/>
        <v>TÜP</v>
      </c>
      <c r="T421" t="str">
        <f t="shared" si="30"/>
        <v>tup</v>
      </c>
    </row>
    <row r="422" spans="1:20" x14ac:dyDescent="0.25">
      <c r="A422" t="s">
        <v>1422</v>
      </c>
      <c r="B422">
        <v>648</v>
      </c>
      <c r="C422" t="s">
        <v>2269</v>
      </c>
      <c r="D422" t="s">
        <v>387</v>
      </c>
      <c r="E422">
        <v>5450</v>
      </c>
      <c r="F422" t="s">
        <v>0</v>
      </c>
      <c r="G422" t="s">
        <v>1606</v>
      </c>
      <c r="H422" t="s">
        <v>1425</v>
      </c>
      <c r="I422" t="s">
        <v>1426</v>
      </c>
      <c r="J422" t="s">
        <v>1426</v>
      </c>
      <c r="O422">
        <v>679</v>
      </c>
      <c r="P422" t="str">
        <f t="shared" si="31"/>
        <v>BM PLASTİK DEDANTÖR 8 MM</v>
      </c>
      <c r="Q422" s="1">
        <f t="shared" si="32"/>
        <v>500</v>
      </c>
      <c r="R422" t="str">
        <f t="shared" si="33"/>
        <v>TL</v>
      </c>
      <c r="S422" t="str">
        <f t="shared" si="34"/>
        <v>TÜP</v>
      </c>
      <c r="T422" t="str">
        <f t="shared" si="30"/>
        <v>tup</v>
      </c>
    </row>
    <row r="423" spans="1:20" x14ac:dyDescent="0.25">
      <c r="A423" t="s">
        <v>1422</v>
      </c>
      <c r="B423">
        <v>649</v>
      </c>
      <c r="C423" t="s">
        <v>2121</v>
      </c>
      <c r="D423" t="s">
        <v>388</v>
      </c>
      <c r="E423">
        <v>3450</v>
      </c>
      <c r="F423" t="s">
        <v>0</v>
      </c>
      <c r="G423" t="s">
        <v>1606</v>
      </c>
      <c r="H423" t="s">
        <v>1425</v>
      </c>
      <c r="I423" t="s">
        <v>1426</v>
      </c>
      <c r="J423" t="s">
        <v>1426</v>
      </c>
      <c r="O423">
        <v>680</v>
      </c>
      <c r="P423" t="str">
        <f t="shared" si="31"/>
        <v>BM UFAK SANAYİ METAL DEDANTÖR</v>
      </c>
      <c r="Q423" s="1">
        <f t="shared" si="32"/>
        <v>0</v>
      </c>
      <c r="R423" t="str">
        <f t="shared" si="33"/>
        <v>TL</v>
      </c>
      <c r="S423" t="str">
        <f t="shared" si="34"/>
        <v>TÜP</v>
      </c>
      <c r="T423" t="str">
        <f t="shared" si="30"/>
        <v>tup</v>
      </c>
    </row>
    <row r="424" spans="1:20" x14ac:dyDescent="0.25">
      <c r="A424" t="s">
        <v>1422</v>
      </c>
      <c r="B424">
        <v>650</v>
      </c>
      <c r="C424" t="s">
        <v>2120</v>
      </c>
      <c r="D424" t="s">
        <v>389</v>
      </c>
      <c r="E424">
        <v>4425</v>
      </c>
      <c r="F424" t="s">
        <v>0</v>
      </c>
      <c r="G424" t="s">
        <v>1606</v>
      </c>
      <c r="H424" t="s">
        <v>1425</v>
      </c>
      <c r="I424" t="s">
        <v>1426</v>
      </c>
      <c r="J424" t="s">
        <v>1426</v>
      </c>
      <c r="O424">
        <v>682</v>
      </c>
      <c r="P424" t="str">
        <f t="shared" si="31"/>
        <v>LOKANTA OCAĞI ÇİFT YANIŞLI 60*60</v>
      </c>
      <c r="Q424" s="1">
        <f t="shared" si="32"/>
        <v>13000</v>
      </c>
      <c r="R424" t="str">
        <f t="shared" si="33"/>
        <v>TL</v>
      </c>
      <c r="S424" t="str">
        <f t="shared" si="34"/>
        <v>ENDÜSTRİYEL</v>
      </c>
      <c r="T424" t="str">
        <f t="shared" si="30"/>
        <v>endustriyel</v>
      </c>
    </row>
    <row r="425" spans="1:20" x14ac:dyDescent="0.25">
      <c r="A425" t="s">
        <v>1422</v>
      </c>
      <c r="B425">
        <v>651</v>
      </c>
      <c r="C425" t="s">
        <v>2118</v>
      </c>
      <c r="D425" t="s">
        <v>390</v>
      </c>
      <c r="E425">
        <v>1950</v>
      </c>
      <c r="F425" t="s">
        <v>0</v>
      </c>
      <c r="G425" t="s">
        <v>1606</v>
      </c>
      <c r="H425" t="s">
        <v>1425</v>
      </c>
      <c r="I425" t="s">
        <v>1426</v>
      </c>
      <c r="J425" t="s">
        <v>1426</v>
      </c>
      <c r="O425">
        <v>683</v>
      </c>
      <c r="P425" t="str">
        <f t="shared" si="31"/>
        <v>FRİTÖZ ÇİFTLİ ELEKTRİKLİ 3+3 LT</v>
      </c>
      <c r="Q425" s="1">
        <f t="shared" si="32"/>
        <v>14850</v>
      </c>
      <c r="R425" t="str">
        <f t="shared" si="33"/>
        <v>TL</v>
      </c>
      <c r="S425" t="str">
        <f t="shared" si="34"/>
        <v>ENDÜSTRİYEL</v>
      </c>
      <c r="T425" t="str">
        <f t="shared" si="30"/>
        <v>endustriyel</v>
      </c>
    </row>
    <row r="426" spans="1:20" x14ac:dyDescent="0.25">
      <c r="A426" t="s">
        <v>1422</v>
      </c>
      <c r="B426">
        <v>652</v>
      </c>
      <c r="C426" t="s">
        <v>2354</v>
      </c>
      <c r="D426" t="s">
        <v>391</v>
      </c>
      <c r="E426">
        <v>50</v>
      </c>
      <c r="F426" t="s">
        <v>0</v>
      </c>
      <c r="G426" t="s">
        <v>1553</v>
      </c>
      <c r="H426" t="s">
        <v>1425</v>
      </c>
      <c r="I426" t="s">
        <v>1426</v>
      </c>
      <c r="J426" t="s">
        <v>1426</v>
      </c>
      <c r="O426">
        <v>684</v>
      </c>
      <c r="P426" t="str">
        <f t="shared" si="31"/>
        <v>FRİTÖZ ÇİFTLİ ELEKTRİKLİ 5+5 LT</v>
      </c>
      <c r="Q426" s="1">
        <f t="shared" si="32"/>
        <v>18150</v>
      </c>
      <c r="R426" t="str">
        <f t="shared" si="33"/>
        <v>TL</v>
      </c>
      <c r="S426" t="str">
        <f t="shared" si="34"/>
        <v>ENDÜSTRİYEL</v>
      </c>
      <c r="T426" t="str">
        <f t="shared" si="30"/>
        <v>endustriyel</v>
      </c>
    </row>
    <row r="427" spans="1:20" x14ac:dyDescent="0.25">
      <c r="A427" t="s">
        <v>1422</v>
      </c>
      <c r="B427">
        <v>653</v>
      </c>
      <c r="C427" t="s">
        <v>2268</v>
      </c>
      <c r="D427" t="s">
        <v>392</v>
      </c>
      <c r="E427">
        <v>5600</v>
      </c>
      <c r="F427" t="s">
        <v>0</v>
      </c>
      <c r="G427" t="s">
        <v>1606</v>
      </c>
      <c r="H427" t="s">
        <v>1425</v>
      </c>
      <c r="I427" t="s">
        <v>1426</v>
      </c>
      <c r="J427" t="s">
        <v>1426</v>
      </c>
      <c r="O427">
        <v>686</v>
      </c>
      <c r="P427" t="str">
        <f t="shared" si="31"/>
        <v>DAMACANA YAYLI KAPAK</v>
      </c>
      <c r="Q427" s="1">
        <f t="shared" si="32"/>
        <v>120</v>
      </c>
      <c r="R427" t="str">
        <f t="shared" si="33"/>
        <v>TL</v>
      </c>
      <c r="S427" t="str">
        <f t="shared" si="34"/>
        <v>TÜP</v>
      </c>
      <c r="T427" t="str">
        <f t="shared" si="30"/>
        <v>tup</v>
      </c>
    </row>
    <row r="428" spans="1:20" x14ac:dyDescent="0.25">
      <c r="A428" t="s">
        <v>1422</v>
      </c>
      <c r="B428">
        <v>654</v>
      </c>
      <c r="C428" t="s">
        <v>2267</v>
      </c>
      <c r="D428" t="s">
        <v>393</v>
      </c>
      <c r="E428">
        <v>5600</v>
      </c>
      <c r="F428" t="s">
        <v>0</v>
      </c>
      <c r="G428" t="s">
        <v>1606</v>
      </c>
      <c r="H428" t="s">
        <v>1425</v>
      </c>
      <c r="I428" t="s">
        <v>1426</v>
      </c>
      <c r="J428" t="s">
        <v>1426</v>
      </c>
      <c r="O428">
        <v>687</v>
      </c>
      <c r="P428" t="str">
        <f t="shared" si="31"/>
        <v>DANA KUYRUĞU 1/2</v>
      </c>
      <c r="Q428" s="1">
        <f t="shared" si="32"/>
        <v>950</v>
      </c>
      <c r="R428" t="str">
        <f t="shared" si="33"/>
        <v>TL</v>
      </c>
      <c r="S428" t="str">
        <f t="shared" si="34"/>
        <v>TÜP</v>
      </c>
      <c r="T428" t="str">
        <f t="shared" si="30"/>
        <v>tup</v>
      </c>
    </row>
    <row r="429" spans="1:20" x14ac:dyDescent="0.25">
      <c r="A429" t="s">
        <v>1422</v>
      </c>
      <c r="B429">
        <v>655</v>
      </c>
      <c r="C429" t="s">
        <v>2116</v>
      </c>
      <c r="D429" t="s">
        <v>394</v>
      </c>
      <c r="E429">
        <v>4350</v>
      </c>
      <c r="F429" t="s">
        <v>0</v>
      </c>
      <c r="G429" t="s">
        <v>1606</v>
      </c>
      <c r="H429" t="s">
        <v>1425</v>
      </c>
      <c r="I429" t="s">
        <v>1426</v>
      </c>
      <c r="J429" t="s">
        <v>1426</v>
      </c>
      <c r="O429">
        <v>688</v>
      </c>
      <c r="P429" t="str">
        <f t="shared" si="31"/>
        <v>DEDANTÖRLÜ NURGAZ KAMP SOBA AYGAZ</v>
      </c>
      <c r="Q429" s="1">
        <f t="shared" si="32"/>
        <v>970</v>
      </c>
      <c r="R429" t="str">
        <f t="shared" si="33"/>
        <v>TL</v>
      </c>
      <c r="S429" t="str">
        <f t="shared" si="34"/>
        <v>TÜP</v>
      </c>
      <c r="T429" t="str">
        <f t="shared" si="30"/>
        <v>tup</v>
      </c>
    </row>
    <row r="430" spans="1:20" x14ac:dyDescent="0.25">
      <c r="A430" t="s">
        <v>1422</v>
      </c>
      <c r="B430">
        <v>656</v>
      </c>
      <c r="C430" t="s">
        <v>2115</v>
      </c>
      <c r="D430" t="s">
        <v>395</v>
      </c>
      <c r="E430">
        <v>6175</v>
      </c>
      <c r="F430" t="s">
        <v>0</v>
      </c>
      <c r="G430" t="s">
        <v>1606</v>
      </c>
      <c r="H430" t="s">
        <v>1425</v>
      </c>
      <c r="I430" t="s">
        <v>1426</v>
      </c>
      <c r="J430" t="s">
        <v>1426</v>
      </c>
      <c r="O430">
        <v>689</v>
      </c>
      <c r="P430" t="str">
        <f t="shared" si="31"/>
        <v>DEDANTÖRLÜ NURGAZ KAMP SOBA İPRA</v>
      </c>
      <c r="Q430" s="1">
        <f t="shared" si="32"/>
        <v>990</v>
      </c>
      <c r="R430" t="str">
        <f t="shared" si="33"/>
        <v>TL</v>
      </c>
      <c r="S430" t="str">
        <f t="shared" si="34"/>
        <v>TÜP</v>
      </c>
      <c r="T430" t="str">
        <f t="shared" si="30"/>
        <v>tup</v>
      </c>
    </row>
    <row r="431" spans="1:20" x14ac:dyDescent="0.25">
      <c r="A431" t="s">
        <v>1422</v>
      </c>
      <c r="B431">
        <v>657</v>
      </c>
      <c r="C431" t="s">
        <v>2114</v>
      </c>
      <c r="D431" t="s">
        <v>396</v>
      </c>
      <c r="E431">
        <v>2200</v>
      </c>
      <c r="F431" t="s">
        <v>0</v>
      </c>
      <c r="G431" t="s">
        <v>1606</v>
      </c>
      <c r="H431" t="s">
        <v>1425</v>
      </c>
      <c r="I431" t="s">
        <v>1426</v>
      </c>
      <c r="J431" t="s">
        <v>1426</v>
      </c>
      <c r="O431">
        <v>690</v>
      </c>
      <c r="P431" t="str">
        <f t="shared" si="31"/>
        <v>DİK HORTUM GİRİŞİ</v>
      </c>
      <c r="Q431" s="1">
        <f t="shared" si="32"/>
        <v>70</v>
      </c>
      <c r="R431" t="str">
        <f t="shared" si="33"/>
        <v>TL</v>
      </c>
      <c r="S431" t="str">
        <f t="shared" si="34"/>
        <v>TÜP</v>
      </c>
      <c r="T431" t="str">
        <f t="shared" si="30"/>
        <v>tup</v>
      </c>
    </row>
    <row r="432" spans="1:20" x14ac:dyDescent="0.25">
      <c r="A432" t="s">
        <v>1422</v>
      </c>
      <c r="B432">
        <v>658</v>
      </c>
      <c r="C432" t="s">
        <v>2113</v>
      </c>
      <c r="D432" t="s">
        <v>397</v>
      </c>
      <c r="E432">
        <v>4650</v>
      </c>
      <c r="F432" t="s">
        <v>0</v>
      </c>
      <c r="G432" t="s">
        <v>1606</v>
      </c>
      <c r="H432" t="s">
        <v>1425</v>
      </c>
      <c r="I432" t="s">
        <v>1426</v>
      </c>
      <c r="J432" t="s">
        <v>1426</v>
      </c>
      <c r="O432">
        <v>691</v>
      </c>
      <c r="P432" t="str">
        <f t="shared" si="31"/>
        <v>DİKSAN KAMP OCAK AYGAZ</v>
      </c>
      <c r="Q432" s="1">
        <f t="shared" si="32"/>
        <v>0</v>
      </c>
      <c r="R432" t="str">
        <f t="shared" si="33"/>
        <v>TL</v>
      </c>
      <c r="S432" t="str">
        <f t="shared" si="34"/>
        <v>TÜP</v>
      </c>
      <c r="T432" t="str">
        <f t="shared" si="30"/>
        <v>tup</v>
      </c>
    </row>
    <row r="433" spans="1:20" x14ac:dyDescent="0.25">
      <c r="A433" t="s">
        <v>1422</v>
      </c>
      <c r="B433">
        <v>659</v>
      </c>
      <c r="C433" t="s">
        <v>2111</v>
      </c>
      <c r="D433" t="s">
        <v>398</v>
      </c>
      <c r="E433">
        <v>6375</v>
      </c>
      <c r="F433" t="s">
        <v>0</v>
      </c>
      <c r="G433" t="s">
        <v>1606</v>
      </c>
      <c r="H433" t="s">
        <v>1425</v>
      </c>
      <c r="I433" t="s">
        <v>1426</v>
      </c>
      <c r="J433" t="s">
        <v>1426</v>
      </c>
      <c r="O433">
        <v>692</v>
      </c>
      <c r="P433" t="str">
        <f t="shared" si="31"/>
        <v>DİKSAN KAMP OCAK İPRA</v>
      </c>
      <c r="Q433" s="1">
        <f t="shared" si="32"/>
        <v>0</v>
      </c>
      <c r="R433" t="str">
        <f t="shared" si="33"/>
        <v>TL</v>
      </c>
      <c r="S433" t="str">
        <f t="shared" si="34"/>
        <v>TÜP</v>
      </c>
      <c r="T433" t="str">
        <f t="shared" si="30"/>
        <v>tup</v>
      </c>
    </row>
    <row r="434" spans="1:20" x14ac:dyDescent="0.25">
      <c r="A434" t="s">
        <v>1422</v>
      </c>
      <c r="B434">
        <v>660</v>
      </c>
      <c r="C434" t="s">
        <v>2110</v>
      </c>
      <c r="D434" t="s">
        <v>399</v>
      </c>
      <c r="E434">
        <v>2350</v>
      </c>
      <c r="F434" t="s">
        <v>0</v>
      </c>
      <c r="G434" t="s">
        <v>1606</v>
      </c>
      <c r="H434" t="s">
        <v>1425</v>
      </c>
      <c r="I434" t="s">
        <v>1426</v>
      </c>
      <c r="J434" t="s">
        <v>1426</v>
      </c>
      <c r="O434">
        <v>693</v>
      </c>
      <c r="P434" t="str">
        <f t="shared" si="31"/>
        <v>DOĞALGAZ DİRSEK (İKİ TARAFI ERKEK)</v>
      </c>
      <c r="Q434" s="1">
        <f t="shared" si="32"/>
        <v>120</v>
      </c>
      <c r="R434" t="str">
        <f t="shared" si="33"/>
        <v>TL</v>
      </c>
      <c r="S434" t="str">
        <f t="shared" si="34"/>
        <v>TÜP</v>
      </c>
      <c r="T434" t="str">
        <f t="shared" si="30"/>
        <v>tup</v>
      </c>
    </row>
    <row r="435" spans="1:20" x14ac:dyDescent="0.25">
      <c r="A435" t="s">
        <v>1422</v>
      </c>
      <c r="B435">
        <v>661</v>
      </c>
      <c r="C435" t="s">
        <v>2266</v>
      </c>
      <c r="D435" t="s">
        <v>400</v>
      </c>
      <c r="E435">
        <v>5850</v>
      </c>
      <c r="F435" t="s">
        <v>0</v>
      </c>
      <c r="G435" t="s">
        <v>1606</v>
      </c>
      <c r="H435" t="s">
        <v>1425</v>
      </c>
      <c r="I435" t="s">
        <v>1426</v>
      </c>
      <c r="J435" t="s">
        <v>1426</v>
      </c>
      <c r="O435">
        <v>695</v>
      </c>
      <c r="P435" t="str">
        <f t="shared" si="31"/>
        <v>DOĞALGAZ HORTUMU 100CM</v>
      </c>
      <c r="Q435" s="1">
        <f t="shared" si="32"/>
        <v>900</v>
      </c>
      <c r="R435" t="str">
        <f t="shared" si="33"/>
        <v>TL</v>
      </c>
      <c r="S435" t="str">
        <f t="shared" si="34"/>
        <v>TÜP</v>
      </c>
      <c r="T435" t="str">
        <f t="shared" si="30"/>
        <v>tup</v>
      </c>
    </row>
    <row r="436" spans="1:20" x14ac:dyDescent="0.25">
      <c r="A436" t="s">
        <v>1422</v>
      </c>
      <c r="B436">
        <v>662</v>
      </c>
      <c r="C436" t="s">
        <v>2265</v>
      </c>
      <c r="D436" t="s">
        <v>401</v>
      </c>
      <c r="E436">
        <v>5850</v>
      </c>
      <c r="F436" t="s">
        <v>0</v>
      </c>
      <c r="G436" t="s">
        <v>1606</v>
      </c>
      <c r="H436" t="s">
        <v>1425</v>
      </c>
      <c r="I436" t="s">
        <v>1426</v>
      </c>
      <c r="J436" t="s">
        <v>1426</v>
      </c>
      <c r="O436">
        <v>696</v>
      </c>
      <c r="P436" t="str">
        <f t="shared" si="31"/>
        <v>DOĞALGAZ HORTUMU 125CM</v>
      </c>
      <c r="Q436" s="1">
        <f t="shared" si="32"/>
        <v>1000</v>
      </c>
      <c r="R436" t="str">
        <f t="shared" si="33"/>
        <v>TL</v>
      </c>
      <c r="S436" t="str">
        <f t="shared" si="34"/>
        <v>TÜP</v>
      </c>
      <c r="T436" t="str">
        <f t="shared" si="30"/>
        <v>tup</v>
      </c>
    </row>
    <row r="437" spans="1:20" x14ac:dyDescent="0.25">
      <c r="A437" t="s">
        <v>1422</v>
      </c>
      <c r="B437">
        <v>663</v>
      </c>
      <c r="C437" t="s">
        <v>2109</v>
      </c>
      <c r="D437" t="s">
        <v>402</v>
      </c>
      <c r="E437">
        <v>5500</v>
      </c>
      <c r="F437" t="s">
        <v>0</v>
      </c>
      <c r="G437" t="s">
        <v>1606</v>
      </c>
      <c r="H437" t="s">
        <v>1425</v>
      </c>
      <c r="I437" t="s">
        <v>1426</v>
      </c>
      <c r="J437" t="s">
        <v>1426</v>
      </c>
      <c r="O437">
        <v>697</v>
      </c>
      <c r="P437" t="str">
        <f t="shared" si="31"/>
        <v>DOĞALGAZ HORTUMU 150CM</v>
      </c>
      <c r="Q437" s="1">
        <f t="shared" si="32"/>
        <v>1100</v>
      </c>
      <c r="R437" t="str">
        <f t="shared" si="33"/>
        <v>TL</v>
      </c>
      <c r="S437" t="str">
        <f t="shared" si="34"/>
        <v>TÜP</v>
      </c>
      <c r="T437" t="str">
        <f t="shared" si="30"/>
        <v>tup</v>
      </c>
    </row>
    <row r="438" spans="1:20" x14ac:dyDescent="0.25">
      <c r="A438" t="s">
        <v>1422</v>
      </c>
      <c r="B438">
        <v>664</v>
      </c>
      <c r="C438" t="s">
        <v>2107</v>
      </c>
      <c r="D438" t="s">
        <v>403</v>
      </c>
      <c r="E438">
        <v>10080</v>
      </c>
      <c r="F438" t="s">
        <v>0</v>
      </c>
      <c r="G438" t="s">
        <v>1606</v>
      </c>
      <c r="H438" t="s">
        <v>1425</v>
      </c>
      <c r="I438" t="s">
        <v>1426</v>
      </c>
      <c r="J438" t="s">
        <v>1426</v>
      </c>
      <c r="O438">
        <v>698</v>
      </c>
      <c r="P438" t="str">
        <f t="shared" si="31"/>
        <v>DOĞALGAZ HORTUMU 200CM</v>
      </c>
      <c r="Q438" s="1">
        <f t="shared" si="32"/>
        <v>1250</v>
      </c>
      <c r="R438" t="str">
        <f t="shared" si="33"/>
        <v>TL</v>
      </c>
      <c r="S438" t="str">
        <f t="shared" si="34"/>
        <v>TÜP</v>
      </c>
      <c r="T438" t="str">
        <f t="shared" si="30"/>
        <v>tup</v>
      </c>
    </row>
    <row r="439" spans="1:20" x14ac:dyDescent="0.25">
      <c r="A439" t="s">
        <v>1422</v>
      </c>
      <c r="B439">
        <v>665</v>
      </c>
      <c r="C439" t="s">
        <v>2108</v>
      </c>
      <c r="D439" t="s">
        <v>404</v>
      </c>
      <c r="E439">
        <v>7140</v>
      </c>
      <c r="F439" t="s">
        <v>0</v>
      </c>
      <c r="G439" t="s">
        <v>1606</v>
      </c>
      <c r="H439" t="s">
        <v>1425</v>
      </c>
      <c r="I439" t="s">
        <v>1426</v>
      </c>
      <c r="J439" t="s">
        <v>1426</v>
      </c>
      <c r="O439">
        <v>699</v>
      </c>
      <c r="P439" t="str">
        <f t="shared" si="31"/>
        <v>DOĞALGAZ HORTUMU 50CM</v>
      </c>
      <c r="Q439" s="1">
        <f t="shared" si="32"/>
        <v>700</v>
      </c>
      <c r="R439" t="str">
        <f t="shared" si="33"/>
        <v>TL</v>
      </c>
      <c r="S439" t="str">
        <f t="shared" si="34"/>
        <v>TÜP</v>
      </c>
      <c r="T439" t="str">
        <f t="shared" si="30"/>
        <v>tup</v>
      </c>
    </row>
    <row r="440" spans="1:20" x14ac:dyDescent="0.25">
      <c r="A440" t="s">
        <v>1422</v>
      </c>
      <c r="B440">
        <v>666</v>
      </c>
      <c r="C440" t="s">
        <v>2106</v>
      </c>
      <c r="D440" t="s">
        <v>405</v>
      </c>
      <c r="E440">
        <v>2650</v>
      </c>
      <c r="F440" t="s">
        <v>0</v>
      </c>
      <c r="G440" t="s">
        <v>1606</v>
      </c>
      <c r="H440" t="s">
        <v>1425</v>
      </c>
      <c r="I440" t="s">
        <v>1426</v>
      </c>
      <c r="J440" t="s">
        <v>1426</v>
      </c>
      <c r="O440">
        <v>700</v>
      </c>
      <c r="P440" t="str">
        <f t="shared" si="31"/>
        <v>DOĞALGAZ HORTUMU 75CM</v>
      </c>
      <c r="Q440" s="1">
        <f t="shared" si="32"/>
        <v>800</v>
      </c>
      <c r="R440" t="str">
        <f t="shared" si="33"/>
        <v>TL</v>
      </c>
      <c r="S440" t="str">
        <f t="shared" si="34"/>
        <v>TÜP</v>
      </c>
      <c r="T440" t="str">
        <f t="shared" si="30"/>
        <v>tup</v>
      </c>
    </row>
    <row r="441" spans="1:20" x14ac:dyDescent="0.25">
      <c r="A441" t="s">
        <v>1422</v>
      </c>
      <c r="B441">
        <v>667</v>
      </c>
      <c r="C441" t="s">
        <v>2346</v>
      </c>
      <c r="D441" t="s">
        <v>406</v>
      </c>
      <c r="E441">
        <v>1</v>
      </c>
      <c r="F441" t="s">
        <v>0</v>
      </c>
      <c r="G441" t="s">
        <v>1553</v>
      </c>
      <c r="H441" t="s">
        <v>1425</v>
      </c>
      <c r="I441" t="s">
        <v>1426</v>
      </c>
      <c r="J441" t="s">
        <v>1426</v>
      </c>
      <c r="O441">
        <v>701</v>
      </c>
      <c r="P441" t="str">
        <f t="shared" si="31"/>
        <v>ELCEK-DAMACANA KULP</v>
      </c>
      <c r="Q441" s="1">
        <f t="shared" si="32"/>
        <v>100</v>
      </c>
      <c r="R441" t="str">
        <f t="shared" si="33"/>
        <v>TL</v>
      </c>
      <c r="S441" t="str">
        <f t="shared" si="34"/>
        <v>TÜP</v>
      </c>
      <c r="T441" t="str">
        <f t="shared" si="30"/>
        <v>tup</v>
      </c>
    </row>
    <row r="442" spans="1:20" x14ac:dyDescent="0.25">
      <c r="A442" t="s">
        <v>1422</v>
      </c>
      <c r="B442">
        <v>668</v>
      </c>
      <c r="C442" t="s">
        <v>2345</v>
      </c>
      <c r="D442" t="s">
        <v>407</v>
      </c>
      <c r="E442">
        <v>400</v>
      </c>
      <c r="F442" t="s">
        <v>0</v>
      </c>
      <c r="G442" t="s">
        <v>1553</v>
      </c>
      <c r="H442" t="s">
        <v>1425</v>
      </c>
      <c r="I442" t="s">
        <v>1426</v>
      </c>
      <c r="J442" t="s">
        <v>1426</v>
      </c>
      <c r="O442">
        <v>702</v>
      </c>
      <c r="P442" t="str">
        <f t="shared" si="31"/>
        <v>ELEKTRİKLİ SAÇ EMAYE KAYSERİ</v>
      </c>
      <c r="Q442" s="1">
        <f t="shared" si="32"/>
        <v>1500</v>
      </c>
      <c r="R442" t="str">
        <f t="shared" si="33"/>
        <v>TL</v>
      </c>
      <c r="S442" t="str">
        <f t="shared" si="34"/>
        <v>KEA</v>
      </c>
      <c r="T442" t="str">
        <f t="shared" si="30"/>
        <v>kea</v>
      </c>
    </row>
    <row r="443" spans="1:20" x14ac:dyDescent="0.25">
      <c r="A443" t="s">
        <v>1422</v>
      </c>
      <c r="B443">
        <v>669</v>
      </c>
      <c r="C443" t="s">
        <v>2343</v>
      </c>
      <c r="D443" t="s">
        <v>408</v>
      </c>
      <c r="E443">
        <v>0</v>
      </c>
      <c r="F443" t="s">
        <v>0</v>
      </c>
      <c r="G443" t="s">
        <v>1553</v>
      </c>
      <c r="H443" t="s">
        <v>1425</v>
      </c>
      <c r="I443" t="s">
        <v>1426</v>
      </c>
      <c r="J443" t="s">
        <v>1426</v>
      </c>
      <c r="O443">
        <v>703</v>
      </c>
      <c r="P443" t="str">
        <f t="shared" si="31"/>
        <v>EN KÜÇÜK DOĞALGAZ GİRİŞİ</v>
      </c>
      <c r="Q443" s="1">
        <f t="shared" si="32"/>
        <v>70</v>
      </c>
      <c r="R443" t="str">
        <f t="shared" si="33"/>
        <v>TL</v>
      </c>
      <c r="S443" t="str">
        <f t="shared" si="34"/>
        <v>TÜP</v>
      </c>
      <c r="T443" t="str">
        <f t="shared" ref="T443:T506" si="35">IF(S443="KEA","kea",IF(S443="MOBİLYA","mobilya",IF(S443="TÜP","tup",IF(S443="MASA-SAND-SEHPA-ZİGON","mssz",IF(S443="ENDÜSTRİYEL","endustriyel",IF(S443="YEDEK PARÇA","diger",""))))))</f>
        <v>tup</v>
      </c>
    </row>
    <row r="444" spans="1:20" x14ac:dyDescent="0.25">
      <c r="A444" t="s">
        <v>1422</v>
      </c>
      <c r="B444">
        <v>670</v>
      </c>
      <c r="C444" t="s">
        <v>2342</v>
      </c>
      <c r="D444" t="s">
        <v>409</v>
      </c>
      <c r="E444">
        <v>0</v>
      </c>
      <c r="F444" t="s">
        <v>0</v>
      </c>
      <c r="G444" t="s">
        <v>1553</v>
      </c>
      <c r="H444" t="s">
        <v>1425</v>
      </c>
      <c r="I444" t="s">
        <v>1426</v>
      </c>
      <c r="J444" t="s">
        <v>1426</v>
      </c>
      <c r="O444">
        <v>704</v>
      </c>
      <c r="P444" t="str">
        <f t="shared" ref="P444:P507" si="36">IFERROR(VLOOKUP(O444,$M:$N,2,0), VLOOKUP(O444,$B:$D,3,0))</f>
        <v>EN KÜÇÜK OCAK HORTUM GİRİŞİ</v>
      </c>
      <c r="Q444" s="1">
        <f t="shared" ref="Q444:Q507" si="37">VLOOKUP(O444,$B:$E,4,0)*2</f>
        <v>70</v>
      </c>
      <c r="R444" t="str">
        <f t="shared" ref="R444:R507" si="38">VLOOKUP(O444,$B:$F,5,0)</f>
        <v>TL</v>
      </c>
      <c r="S444" t="str">
        <f t="shared" ref="S444:S507" si="39">VLOOKUP(O444,$B:$G,6,0)</f>
        <v>TÜP</v>
      </c>
      <c r="T444" t="str">
        <f t="shared" si="35"/>
        <v>tup</v>
      </c>
    </row>
    <row r="445" spans="1:20" x14ac:dyDescent="0.25">
      <c r="A445" t="s">
        <v>1422</v>
      </c>
      <c r="B445">
        <v>671</v>
      </c>
      <c r="C445" t="s">
        <v>2341</v>
      </c>
      <c r="D445" t="s">
        <v>410</v>
      </c>
      <c r="E445">
        <v>400</v>
      </c>
      <c r="F445" t="s">
        <v>0</v>
      </c>
      <c r="G445" t="s">
        <v>1553</v>
      </c>
      <c r="H445" t="s">
        <v>1425</v>
      </c>
      <c r="I445" t="s">
        <v>1426</v>
      </c>
      <c r="J445" t="s">
        <v>1426</v>
      </c>
      <c r="O445">
        <v>705</v>
      </c>
      <c r="P445" t="str">
        <f t="shared" si="36"/>
        <v>ERENDEMİR GRANİT TAVA</v>
      </c>
      <c r="Q445" s="1">
        <f t="shared" si="37"/>
        <v>1500</v>
      </c>
      <c r="R445" t="str">
        <f t="shared" si="38"/>
        <v>TL</v>
      </c>
      <c r="S445" t="str">
        <f t="shared" si="39"/>
        <v>KEA</v>
      </c>
      <c r="T445" t="str">
        <f t="shared" si="35"/>
        <v>kea</v>
      </c>
    </row>
    <row r="446" spans="1:20" x14ac:dyDescent="0.25">
      <c r="A446" t="s">
        <v>1422</v>
      </c>
      <c r="B446">
        <v>672</v>
      </c>
      <c r="C446" t="s">
        <v>2327</v>
      </c>
      <c r="D446" t="s">
        <v>411</v>
      </c>
      <c r="E446">
        <v>0</v>
      </c>
      <c r="F446" t="s">
        <v>0</v>
      </c>
      <c r="G446" t="s">
        <v>1553</v>
      </c>
      <c r="H446" t="s">
        <v>1425</v>
      </c>
      <c r="I446" t="s">
        <v>1426</v>
      </c>
      <c r="J446" t="s">
        <v>1426</v>
      </c>
      <c r="O446">
        <v>706</v>
      </c>
      <c r="P446" t="str">
        <f t="shared" si="36"/>
        <v xml:space="preserve">FIRIN DOĞALGAZ GİRİŞİ </v>
      </c>
      <c r="Q446" s="1">
        <f t="shared" si="37"/>
        <v>70</v>
      </c>
      <c r="R446" t="str">
        <f t="shared" si="38"/>
        <v>TL</v>
      </c>
      <c r="S446" t="str">
        <f t="shared" si="39"/>
        <v>TÜP</v>
      </c>
      <c r="T446" t="str">
        <f t="shared" si="35"/>
        <v>tup</v>
      </c>
    </row>
    <row r="447" spans="1:20" x14ac:dyDescent="0.25">
      <c r="A447" t="s">
        <v>1422</v>
      </c>
      <c r="B447">
        <v>673</v>
      </c>
      <c r="C447" t="s">
        <v>2325</v>
      </c>
      <c r="D447" t="s">
        <v>412</v>
      </c>
      <c r="E447">
        <v>35</v>
      </c>
      <c r="F447" t="s">
        <v>0</v>
      </c>
      <c r="G447" t="s">
        <v>1553</v>
      </c>
      <c r="H447" t="s">
        <v>1425</v>
      </c>
      <c r="I447" t="s">
        <v>1426</v>
      </c>
      <c r="J447" t="s">
        <v>1426</v>
      </c>
      <c r="O447">
        <v>707</v>
      </c>
      <c r="P447" t="str">
        <f t="shared" si="36"/>
        <v>FIRIN HORTUM GİRİŞİ GENİŞ OLAN</v>
      </c>
      <c r="Q447" s="1">
        <f t="shared" si="37"/>
        <v>70</v>
      </c>
      <c r="R447" t="str">
        <f t="shared" si="38"/>
        <v>TL</v>
      </c>
      <c r="S447" t="str">
        <f t="shared" si="39"/>
        <v>TÜP</v>
      </c>
      <c r="T447" t="str">
        <f t="shared" si="35"/>
        <v>tup</v>
      </c>
    </row>
    <row r="448" spans="1:20" x14ac:dyDescent="0.25">
      <c r="A448" t="s">
        <v>1422</v>
      </c>
      <c r="B448">
        <v>674</v>
      </c>
      <c r="C448" t="s">
        <v>2307</v>
      </c>
      <c r="D448" t="s">
        <v>413</v>
      </c>
      <c r="E448">
        <v>90</v>
      </c>
      <c r="F448" t="s">
        <v>0</v>
      </c>
      <c r="G448" t="s">
        <v>1553</v>
      </c>
      <c r="H448" t="s">
        <v>1425</v>
      </c>
      <c r="I448" t="s">
        <v>1426</v>
      </c>
      <c r="J448" t="s">
        <v>1426</v>
      </c>
      <c r="O448">
        <v>708</v>
      </c>
      <c r="P448" t="str">
        <f t="shared" si="36"/>
        <v>FIRIN KÖRTAPA GENİŞ</v>
      </c>
      <c r="Q448" s="1">
        <f t="shared" si="37"/>
        <v>70</v>
      </c>
      <c r="R448" t="str">
        <f t="shared" si="38"/>
        <v>TL</v>
      </c>
      <c r="S448" t="str">
        <f t="shared" si="39"/>
        <v>TÜP</v>
      </c>
      <c r="T448" t="str">
        <f t="shared" si="35"/>
        <v>tup</v>
      </c>
    </row>
    <row r="449" spans="1:20" x14ac:dyDescent="0.25">
      <c r="A449" t="s">
        <v>1422</v>
      </c>
      <c r="B449">
        <v>675</v>
      </c>
      <c r="C449" t="s">
        <v>2306</v>
      </c>
      <c r="D449" t="s">
        <v>414</v>
      </c>
      <c r="E449">
        <v>85</v>
      </c>
      <c r="F449" t="s">
        <v>0</v>
      </c>
      <c r="G449" t="s">
        <v>1553</v>
      </c>
      <c r="H449" t="s">
        <v>1425</v>
      </c>
      <c r="I449" t="s">
        <v>1426</v>
      </c>
      <c r="J449" t="s">
        <v>1426</v>
      </c>
      <c r="O449">
        <v>709</v>
      </c>
      <c r="P449" t="str">
        <f t="shared" si="36"/>
        <v>SÜZGEÇ GENİŞ</v>
      </c>
      <c r="Q449" s="1">
        <f t="shared" si="37"/>
        <v>55</v>
      </c>
      <c r="R449" t="str">
        <f t="shared" si="38"/>
        <v>TL</v>
      </c>
      <c r="S449" t="str">
        <f t="shared" si="39"/>
        <v>TÜP</v>
      </c>
      <c r="T449" t="str">
        <f t="shared" si="35"/>
        <v>tup</v>
      </c>
    </row>
    <row r="450" spans="1:20" x14ac:dyDescent="0.25">
      <c r="A450" t="s">
        <v>1422</v>
      </c>
      <c r="B450">
        <v>676</v>
      </c>
      <c r="C450" t="s">
        <v>2286</v>
      </c>
      <c r="D450" t="s">
        <v>415</v>
      </c>
      <c r="E450">
        <v>650</v>
      </c>
      <c r="F450" t="s">
        <v>0</v>
      </c>
      <c r="G450" t="s">
        <v>1553</v>
      </c>
      <c r="H450" t="s">
        <v>1425</v>
      </c>
      <c r="I450" t="s">
        <v>1426</v>
      </c>
      <c r="J450" t="s">
        <v>1426</v>
      </c>
      <c r="O450">
        <v>710</v>
      </c>
      <c r="P450" t="str">
        <f t="shared" si="36"/>
        <v>KAPLANLI PLEYT IZGARA 50CM ELEKT. HAMBURGER KÖFTE</v>
      </c>
      <c r="Q450" s="1">
        <f t="shared" si="37"/>
        <v>10100</v>
      </c>
      <c r="R450" t="str">
        <f t="shared" si="38"/>
        <v>TL</v>
      </c>
      <c r="S450" t="str">
        <f t="shared" si="39"/>
        <v>ENDÜSTRİYEL</v>
      </c>
      <c r="T450" t="str">
        <f t="shared" si="35"/>
        <v>endustriyel</v>
      </c>
    </row>
    <row r="451" spans="1:20" x14ac:dyDescent="0.25">
      <c r="A451" t="s">
        <v>1422</v>
      </c>
      <c r="B451">
        <v>677</v>
      </c>
      <c r="C451" t="s">
        <v>2285</v>
      </c>
      <c r="D451" t="s">
        <v>416</v>
      </c>
      <c r="E451">
        <v>0</v>
      </c>
      <c r="F451" t="s">
        <v>0</v>
      </c>
      <c r="G451" t="s">
        <v>1553</v>
      </c>
      <c r="H451" t="s">
        <v>1425</v>
      </c>
      <c r="I451" t="s">
        <v>1426</v>
      </c>
      <c r="J451" t="s">
        <v>1426</v>
      </c>
      <c r="O451">
        <v>711</v>
      </c>
      <c r="P451" t="str">
        <f t="shared" si="36"/>
        <v>FANLI ISITICI HOOK</v>
      </c>
      <c r="Q451" s="1">
        <f t="shared" si="37"/>
        <v>1900</v>
      </c>
      <c r="R451" t="str">
        <f t="shared" si="38"/>
        <v>TL</v>
      </c>
      <c r="S451" t="str">
        <f t="shared" si="39"/>
        <v>KEA</v>
      </c>
      <c r="T451" t="str">
        <f t="shared" si="35"/>
        <v>kea</v>
      </c>
    </row>
    <row r="452" spans="1:20" x14ac:dyDescent="0.25">
      <c r="A452" t="s">
        <v>1422</v>
      </c>
      <c r="B452">
        <v>678</v>
      </c>
      <c r="C452" t="s">
        <v>2284</v>
      </c>
      <c r="D452" t="s">
        <v>417</v>
      </c>
      <c r="E452">
        <v>0</v>
      </c>
      <c r="F452" t="s">
        <v>0</v>
      </c>
      <c r="G452" t="s">
        <v>1553</v>
      </c>
      <c r="H452" t="s">
        <v>1425</v>
      </c>
      <c r="I452" t="s">
        <v>1426</v>
      </c>
      <c r="J452" t="s">
        <v>1426</v>
      </c>
      <c r="O452">
        <v>712</v>
      </c>
      <c r="P452" t="str">
        <f t="shared" si="36"/>
        <v>HUNİ SU İÇİN</v>
      </c>
      <c r="Q452" s="1">
        <f t="shared" si="37"/>
        <v>90</v>
      </c>
      <c r="R452" t="str">
        <f t="shared" si="38"/>
        <v>TL</v>
      </c>
      <c r="S452" t="str">
        <f t="shared" si="39"/>
        <v>TÜP</v>
      </c>
      <c r="T452" t="str">
        <f t="shared" si="35"/>
        <v>tup</v>
      </c>
    </row>
    <row r="453" spans="1:20" x14ac:dyDescent="0.25">
      <c r="A453" t="s">
        <v>1422</v>
      </c>
      <c r="B453">
        <v>679</v>
      </c>
      <c r="C453" t="s">
        <v>2283</v>
      </c>
      <c r="D453" t="s">
        <v>418</v>
      </c>
      <c r="E453">
        <v>250</v>
      </c>
      <c r="F453" t="s">
        <v>0</v>
      </c>
      <c r="G453" t="s">
        <v>1553</v>
      </c>
      <c r="H453" t="s">
        <v>1425</v>
      </c>
      <c r="I453" t="s">
        <v>1426</v>
      </c>
      <c r="J453" t="s">
        <v>1426</v>
      </c>
      <c r="O453">
        <v>713</v>
      </c>
      <c r="P453" t="str">
        <f t="shared" si="36"/>
        <v>ISI-MEKA KAMP OCAK AYGAZ</v>
      </c>
      <c r="Q453" s="1">
        <f t="shared" si="37"/>
        <v>0</v>
      </c>
      <c r="R453" t="str">
        <f t="shared" si="38"/>
        <v>TL</v>
      </c>
      <c r="S453" t="str">
        <f t="shared" si="39"/>
        <v>TÜP</v>
      </c>
      <c r="T453" t="str">
        <f t="shared" si="35"/>
        <v>tup</v>
      </c>
    </row>
    <row r="454" spans="1:20" x14ac:dyDescent="0.25">
      <c r="A454" t="s">
        <v>1422</v>
      </c>
      <c r="B454">
        <v>680</v>
      </c>
      <c r="C454" t="s">
        <v>2280</v>
      </c>
      <c r="D454" t="s">
        <v>419</v>
      </c>
      <c r="E454">
        <v>0</v>
      </c>
      <c r="F454" t="s">
        <v>0</v>
      </c>
      <c r="G454" t="s">
        <v>1553</v>
      </c>
      <c r="H454" t="s">
        <v>1425</v>
      </c>
      <c r="I454" t="s">
        <v>1426</v>
      </c>
      <c r="J454" t="s">
        <v>1426</v>
      </c>
      <c r="O454">
        <v>714</v>
      </c>
      <c r="P454" t="str">
        <f t="shared" si="36"/>
        <v>ISI-MEKA KAMP OCAK İPRA</v>
      </c>
      <c r="Q454" s="1">
        <f t="shared" si="37"/>
        <v>0</v>
      </c>
      <c r="R454" t="str">
        <f t="shared" si="38"/>
        <v>TL</v>
      </c>
      <c r="S454" t="str">
        <f t="shared" si="39"/>
        <v>TÜP</v>
      </c>
      <c r="T454" t="str">
        <f t="shared" si="35"/>
        <v>tup</v>
      </c>
    </row>
    <row r="455" spans="1:20" x14ac:dyDescent="0.25">
      <c r="A455" t="s">
        <v>1422</v>
      </c>
      <c r="B455">
        <v>681</v>
      </c>
      <c r="C455" t="s">
        <v>2278</v>
      </c>
      <c r="D455" t="s">
        <v>420</v>
      </c>
      <c r="E455">
        <v>35</v>
      </c>
      <c r="F455" t="s">
        <v>0</v>
      </c>
      <c r="G455" t="s">
        <v>1553</v>
      </c>
      <c r="H455" t="s">
        <v>1425</v>
      </c>
      <c r="I455" t="s">
        <v>1426</v>
      </c>
      <c r="J455" t="s">
        <v>1426</v>
      </c>
      <c r="O455">
        <v>716</v>
      </c>
      <c r="P455" t="str">
        <f t="shared" si="36"/>
        <v>CONTALAR</v>
      </c>
      <c r="Q455" s="1">
        <f t="shared" si="37"/>
        <v>880</v>
      </c>
      <c r="R455" t="str">
        <f t="shared" si="38"/>
        <v>TL</v>
      </c>
      <c r="S455" t="str">
        <f t="shared" si="39"/>
        <v>TÜP</v>
      </c>
      <c r="T455" t="str">
        <f t="shared" si="35"/>
        <v>tup</v>
      </c>
    </row>
    <row r="456" spans="1:20" x14ac:dyDescent="0.25">
      <c r="A456" t="s">
        <v>1422</v>
      </c>
      <c r="B456">
        <v>682</v>
      </c>
      <c r="C456" t="s">
        <v>2068</v>
      </c>
      <c r="D456" t="s">
        <v>2069</v>
      </c>
      <c r="E456">
        <v>6500</v>
      </c>
      <c r="F456" t="s">
        <v>0</v>
      </c>
      <c r="G456" t="s">
        <v>1606</v>
      </c>
      <c r="H456" t="s">
        <v>1425</v>
      </c>
      <c r="I456" t="s">
        <v>1426</v>
      </c>
      <c r="J456" t="s">
        <v>1426</v>
      </c>
      <c r="O456">
        <v>717</v>
      </c>
      <c r="P456" t="str">
        <f t="shared" si="36"/>
        <v>İPRA HORTUM GİRİŞLİ MUSLUK</v>
      </c>
      <c r="Q456" s="1">
        <f t="shared" si="37"/>
        <v>200</v>
      </c>
      <c r="R456" t="str">
        <f t="shared" si="38"/>
        <v>TL</v>
      </c>
      <c r="S456" t="str">
        <f t="shared" si="39"/>
        <v>TÜP</v>
      </c>
      <c r="T456" t="str">
        <f t="shared" si="35"/>
        <v>tup</v>
      </c>
    </row>
    <row r="457" spans="1:20" x14ac:dyDescent="0.25">
      <c r="A457" t="s">
        <v>1422</v>
      </c>
      <c r="B457">
        <v>683</v>
      </c>
      <c r="C457" t="s">
        <v>2171</v>
      </c>
      <c r="D457" t="s">
        <v>421</v>
      </c>
      <c r="E457">
        <v>7425</v>
      </c>
      <c r="F457" t="s">
        <v>0</v>
      </c>
      <c r="G457" t="s">
        <v>1606</v>
      </c>
      <c r="H457" t="s">
        <v>1425</v>
      </c>
      <c r="I457" t="s">
        <v>1426</v>
      </c>
      <c r="J457" t="s">
        <v>1426</v>
      </c>
      <c r="O457">
        <v>718</v>
      </c>
      <c r="P457" t="str">
        <f t="shared" si="36"/>
        <v>İPRA MUSLUK</v>
      </c>
      <c r="Q457" s="1">
        <f t="shared" si="37"/>
        <v>190</v>
      </c>
      <c r="R457" t="str">
        <f t="shared" si="38"/>
        <v>TL</v>
      </c>
      <c r="S457" t="str">
        <f t="shared" si="39"/>
        <v>TÜP</v>
      </c>
      <c r="T457" t="str">
        <f t="shared" si="35"/>
        <v>tup</v>
      </c>
    </row>
    <row r="458" spans="1:20" x14ac:dyDescent="0.25">
      <c r="A458" t="s">
        <v>1422</v>
      </c>
      <c r="B458">
        <v>684</v>
      </c>
      <c r="C458" t="s">
        <v>2170</v>
      </c>
      <c r="D458" t="s">
        <v>422</v>
      </c>
      <c r="E458">
        <v>9075</v>
      </c>
      <c r="F458" t="s">
        <v>0</v>
      </c>
      <c r="G458" t="s">
        <v>1606</v>
      </c>
      <c r="H458" t="s">
        <v>1425</v>
      </c>
      <c r="I458" t="s">
        <v>1426</v>
      </c>
      <c r="J458" t="s">
        <v>1426</v>
      </c>
      <c r="O458">
        <v>719</v>
      </c>
      <c r="P458" t="str">
        <f t="shared" si="36"/>
        <v>KAHVECİ KAZAN MUSLUĞU SU İÇİN</v>
      </c>
      <c r="Q458" s="1">
        <f t="shared" si="37"/>
        <v>0</v>
      </c>
      <c r="R458" t="str">
        <f t="shared" si="38"/>
        <v>TL</v>
      </c>
      <c r="S458" t="str">
        <f t="shared" si="39"/>
        <v>TÜP</v>
      </c>
      <c r="T458" t="str">
        <f t="shared" si="35"/>
        <v>tup</v>
      </c>
    </row>
    <row r="459" spans="1:20" x14ac:dyDescent="0.25">
      <c r="A459" t="s">
        <v>1422</v>
      </c>
      <c r="B459">
        <v>686</v>
      </c>
      <c r="C459" t="s">
        <v>2260</v>
      </c>
      <c r="D459" t="s">
        <v>423</v>
      </c>
      <c r="E459">
        <v>60</v>
      </c>
      <c r="F459" t="s">
        <v>0</v>
      </c>
      <c r="G459" t="s">
        <v>1553</v>
      </c>
      <c r="H459" t="s">
        <v>1425</v>
      </c>
      <c r="I459" t="s">
        <v>1426</v>
      </c>
      <c r="J459" t="s">
        <v>1426</v>
      </c>
      <c r="O459">
        <v>720</v>
      </c>
      <c r="P459" t="str">
        <f t="shared" si="36"/>
        <v>KAHVECİ OCAK MUSLUĞU GAZ İÇİN</v>
      </c>
      <c r="Q459" s="1">
        <f t="shared" si="37"/>
        <v>200</v>
      </c>
      <c r="R459" t="str">
        <f t="shared" si="38"/>
        <v>TL</v>
      </c>
      <c r="S459" t="str">
        <f t="shared" si="39"/>
        <v>TÜP</v>
      </c>
      <c r="T459" t="str">
        <f t="shared" si="35"/>
        <v>tup</v>
      </c>
    </row>
    <row r="460" spans="1:20" x14ac:dyDescent="0.25">
      <c r="A460" t="s">
        <v>1422</v>
      </c>
      <c r="B460">
        <v>687</v>
      </c>
      <c r="C460" t="s">
        <v>2259</v>
      </c>
      <c r="D460" t="s">
        <v>867</v>
      </c>
      <c r="E460">
        <v>475</v>
      </c>
      <c r="F460" t="s">
        <v>0</v>
      </c>
      <c r="G460" t="s">
        <v>1553</v>
      </c>
      <c r="H460" t="s">
        <v>1425</v>
      </c>
      <c r="I460" t="s">
        <v>1426</v>
      </c>
      <c r="J460" t="s">
        <v>1426</v>
      </c>
      <c r="O460">
        <v>721</v>
      </c>
      <c r="P460" t="str">
        <f t="shared" si="36"/>
        <v>KAHVECİ OCAK MUSLUĞU İNCE DİŞ</v>
      </c>
      <c r="Q460" s="1">
        <f t="shared" si="37"/>
        <v>200</v>
      </c>
      <c r="R460" t="str">
        <f t="shared" si="38"/>
        <v>TL</v>
      </c>
      <c r="S460" t="str">
        <f t="shared" si="39"/>
        <v>TÜP</v>
      </c>
      <c r="T460" t="str">
        <f t="shared" si="35"/>
        <v>tup</v>
      </c>
    </row>
    <row r="461" spans="1:20" x14ac:dyDescent="0.25">
      <c r="A461" t="s">
        <v>1422</v>
      </c>
      <c r="B461">
        <v>688</v>
      </c>
      <c r="C461" t="s">
        <v>2254</v>
      </c>
      <c r="D461" t="s">
        <v>424</v>
      </c>
      <c r="E461">
        <v>485</v>
      </c>
      <c r="F461" t="s">
        <v>0</v>
      </c>
      <c r="G461" t="s">
        <v>1553</v>
      </c>
      <c r="H461" t="s">
        <v>1425</v>
      </c>
      <c r="I461" t="s">
        <v>1426</v>
      </c>
      <c r="J461" t="s">
        <v>1426</v>
      </c>
      <c r="O461">
        <v>722</v>
      </c>
      <c r="P461" t="str">
        <f t="shared" si="36"/>
        <v>KAHVECİ OCAK MUSLUĞU KALIN DİŞ</v>
      </c>
      <c r="Q461" s="1">
        <f t="shared" si="37"/>
        <v>200</v>
      </c>
      <c r="R461" t="str">
        <f t="shared" si="38"/>
        <v>TL</v>
      </c>
      <c r="S461" t="str">
        <f t="shared" si="39"/>
        <v>TÜP</v>
      </c>
      <c r="T461" t="str">
        <f t="shared" si="35"/>
        <v>tup</v>
      </c>
    </row>
    <row r="462" spans="1:20" x14ac:dyDescent="0.25">
      <c r="A462" t="s">
        <v>1422</v>
      </c>
      <c r="B462">
        <v>689</v>
      </c>
      <c r="C462" t="s">
        <v>2253</v>
      </c>
      <c r="D462" t="s">
        <v>425</v>
      </c>
      <c r="E462">
        <v>495</v>
      </c>
      <c r="F462" t="s">
        <v>0</v>
      </c>
      <c r="G462" t="s">
        <v>1553</v>
      </c>
      <c r="H462" t="s">
        <v>1425</v>
      </c>
      <c r="I462" t="s">
        <v>1426</v>
      </c>
      <c r="J462" t="s">
        <v>1426</v>
      </c>
      <c r="O462">
        <v>723</v>
      </c>
      <c r="P462" t="str">
        <f t="shared" si="36"/>
        <v xml:space="preserve">KAMP OCAK MUSLUĞU AYGAZ </v>
      </c>
      <c r="Q462" s="1">
        <f t="shared" si="37"/>
        <v>200</v>
      </c>
      <c r="R462" t="str">
        <f t="shared" si="38"/>
        <v>TL</v>
      </c>
      <c r="S462" t="str">
        <f t="shared" si="39"/>
        <v>TÜP</v>
      </c>
      <c r="T462" t="str">
        <f t="shared" si="35"/>
        <v>tup</v>
      </c>
    </row>
    <row r="463" spans="1:20" x14ac:dyDescent="0.25">
      <c r="A463" t="s">
        <v>1422</v>
      </c>
      <c r="B463">
        <v>690</v>
      </c>
      <c r="C463" t="s">
        <v>2252</v>
      </c>
      <c r="D463" t="s">
        <v>426</v>
      </c>
      <c r="E463">
        <v>35</v>
      </c>
      <c r="F463" t="s">
        <v>0</v>
      </c>
      <c r="G463" t="s">
        <v>1553</v>
      </c>
      <c r="H463" t="s">
        <v>1425</v>
      </c>
      <c r="I463" t="s">
        <v>1426</v>
      </c>
      <c r="J463" t="s">
        <v>1426</v>
      </c>
      <c r="O463">
        <v>724</v>
      </c>
      <c r="P463" t="str">
        <f t="shared" si="36"/>
        <v>KAMP OCAK MUSLUĞU İPRA</v>
      </c>
      <c r="Q463" s="1">
        <f t="shared" si="37"/>
        <v>200</v>
      </c>
      <c r="R463" t="str">
        <f t="shared" si="38"/>
        <v>TL</v>
      </c>
      <c r="S463" t="str">
        <f t="shared" si="39"/>
        <v>TÜP</v>
      </c>
      <c r="T463" t="str">
        <f t="shared" si="35"/>
        <v>tup</v>
      </c>
    </row>
    <row r="464" spans="1:20" x14ac:dyDescent="0.25">
      <c r="A464" t="s">
        <v>1422</v>
      </c>
      <c r="B464">
        <v>691</v>
      </c>
      <c r="C464" t="s">
        <v>2251</v>
      </c>
      <c r="D464" t="s">
        <v>805</v>
      </c>
      <c r="E464">
        <v>0</v>
      </c>
      <c r="F464" t="s">
        <v>0</v>
      </c>
      <c r="G464" t="s">
        <v>1553</v>
      </c>
      <c r="H464" t="s">
        <v>1425</v>
      </c>
      <c r="I464" t="s">
        <v>1426</v>
      </c>
      <c r="J464" t="s">
        <v>1426</v>
      </c>
      <c r="O464">
        <v>725</v>
      </c>
      <c r="P464" t="str">
        <f t="shared" si="36"/>
        <v>KAMP SOBA MUSLUĞU AYGAZ</v>
      </c>
      <c r="Q464" s="1">
        <f t="shared" si="37"/>
        <v>200</v>
      </c>
      <c r="R464" t="str">
        <f t="shared" si="38"/>
        <v>TL</v>
      </c>
      <c r="S464" t="str">
        <f t="shared" si="39"/>
        <v>TÜP</v>
      </c>
      <c r="T464" t="str">
        <f t="shared" si="35"/>
        <v>tup</v>
      </c>
    </row>
    <row r="465" spans="1:20" x14ac:dyDescent="0.25">
      <c r="A465" t="s">
        <v>1422</v>
      </c>
      <c r="B465">
        <v>692</v>
      </c>
      <c r="C465" t="s">
        <v>2250</v>
      </c>
      <c r="D465" t="s">
        <v>806</v>
      </c>
      <c r="E465">
        <v>0</v>
      </c>
      <c r="F465" t="s">
        <v>0</v>
      </c>
      <c r="G465" t="s">
        <v>1553</v>
      </c>
      <c r="H465" t="s">
        <v>1425</v>
      </c>
      <c r="I465" t="s">
        <v>1426</v>
      </c>
      <c r="J465" t="s">
        <v>1426</v>
      </c>
      <c r="O465">
        <v>726</v>
      </c>
      <c r="P465" t="str">
        <f t="shared" si="36"/>
        <v>KAMP SOBA MUSLUĞU İPRA</v>
      </c>
      <c r="Q465" s="1">
        <f t="shared" si="37"/>
        <v>200</v>
      </c>
      <c r="R465" t="str">
        <f t="shared" si="38"/>
        <v>TL</v>
      </c>
      <c r="S465" t="str">
        <f t="shared" si="39"/>
        <v>TÜP</v>
      </c>
      <c r="T465" t="str">
        <f t="shared" si="35"/>
        <v>tup</v>
      </c>
    </row>
    <row r="466" spans="1:20" x14ac:dyDescent="0.25">
      <c r="A466" t="s">
        <v>1422</v>
      </c>
      <c r="B466">
        <v>693</v>
      </c>
      <c r="C466" t="s">
        <v>2249</v>
      </c>
      <c r="D466" t="s">
        <v>427</v>
      </c>
      <c r="E466">
        <v>60</v>
      </c>
      <c r="F466" t="s">
        <v>0</v>
      </c>
      <c r="G466" t="s">
        <v>1553</v>
      </c>
      <c r="H466" t="s">
        <v>1425</v>
      </c>
      <c r="I466" t="s">
        <v>1426</v>
      </c>
      <c r="J466" t="s">
        <v>1426</v>
      </c>
      <c r="O466">
        <v>727</v>
      </c>
      <c r="P466" t="str">
        <f t="shared" si="36"/>
        <v>TOST MAKİNESİ KAPLANLI 12 DİLİM ELEKTRİKLİ</v>
      </c>
      <c r="Q466" s="1">
        <f t="shared" si="37"/>
        <v>15000</v>
      </c>
      <c r="R466" t="str">
        <f t="shared" si="38"/>
        <v>TL</v>
      </c>
      <c r="S466" t="str">
        <f t="shared" si="39"/>
        <v>ENDÜSTRİYEL</v>
      </c>
      <c r="T466" t="str">
        <f t="shared" si="35"/>
        <v>endustriyel</v>
      </c>
    </row>
    <row r="467" spans="1:20" x14ac:dyDescent="0.25">
      <c r="A467" t="s">
        <v>1422</v>
      </c>
      <c r="B467">
        <v>695</v>
      </c>
      <c r="C467" t="s">
        <v>2248</v>
      </c>
      <c r="D467" t="s">
        <v>428</v>
      </c>
      <c r="E467">
        <v>450</v>
      </c>
      <c r="F467" t="s">
        <v>0</v>
      </c>
      <c r="G467" t="s">
        <v>1553</v>
      </c>
      <c r="H467" t="s">
        <v>1425</v>
      </c>
      <c r="I467" t="s">
        <v>1426</v>
      </c>
      <c r="J467" t="s">
        <v>1426</v>
      </c>
      <c r="O467">
        <v>728</v>
      </c>
      <c r="P467" t="str">
        <f t="shared" si="36"/>
        <v>SEMAVER KAPLANLI 120 BARDAK</v>
      </c>
      <c r="Q467" s="1">
        <f t="shared" si="37"/>
        <v>8000</v>
      </c>
      <c r="R467" t="str">
        <f t="shared" si="38"/>
        <v>TL</v>
      </c>
      <c r="S467" t="str">
        <f t="shared" si="39"/>
        <v>KEA</v>
      </c>
      <c r="T467" t="str">
        <f t="shared" si="35"/>
        <v>kea</v>
      </c>
    </row>
    <row r="468" spans="1:20" x14ac:dyDescent="0.25">
      <c r="A468" t="s">
        <v>1422</v>
      </c>
      <c r="B468">
        <v>696</v>
      </c>
      <c r="C468" t="s">
        <v>2247</v>
      </c>
      <c r="D468" t="s">
        <v>429</v>
      </c>
      <c r="E468">
        <v>500</v>
      </c>
      <c r="F468" t="s">
        <v>0</v>
      </c>
      <c r="G468" t="s">
        <v>1553</v>
      </c>
      <c r="H468" t="s">
        <v>1425</v>
      </c>
      <c r="I468" t="s">
        <v>1426</v>
      </c>
      <c r="J468" t="s">
        <v>1426</v>
      </c>
      <c r="O468">
        <v>729</v>
      </c>
      <c r="P468" t="str">
        <f t="shared" si="36"/>
        <v>TOST MAKİNESİ KAPLANLI 20 DİLİM ELEKTRİKLİ</v>
      </c>
      <c r="Q468" s="1">
        <f t="shared" si="37"/>
        <v>15700</v>
      </c>
      <c r="R468" t="str">
        <f t="shared" si="38"/>
        <v>TL</v>
      </c>
      <c r="S468" t="str">
        <f t="shared" si="39"/>
        <v>ENDÜSTRİYEL</v>
      </c>
      <c r="T468" t="str">
        <f t="shared" si="35"/>
        <v>endustriyel</v>
      </c>
    </row>
    <row r="469" spans="1:20" x14ac:dyDescent="0.25">
      <c r="A469" t="s">
        <v>1422</v>
      </c>
      <c r="B469">
        <v>697</v>
      </c>
      <c r="C469" t="s">
        <v>2246</v>
      </c>
      <c r="D469" t="s">
        <v>430</v>
      </c>
      <c r="E469">
        <v>550</v>
      </c>
      <c r="F469" t="s">
        <v>0</v>
      </c>
      <c r="G469" t="s">
        <v>1553</v>
      </c>
      <c r="H469" t="s">
        <v>1425</v>
      </c>
      <c r="I469" t="s">
        <v>1426</v>
      </c>
      <c r="J469" t="s">
        <v>1426</v>
      </c>
      <c r="O469">
        <v>730</v>
      </c>
      <c r="P469" t="str">
        <f t="shared" si="36"/>
        <v>TOST MAKİNESİ KAPLANLI 24 DİLİM ELEKTRİKLİ</v>
      </c>
      <c r="Q469" s="1">
        <f t="shared" si="37"/>
        <v>26500</v>
      </c>
      <c r="R469" t="str">
        <f t="shared" si="38"/>
        <v>TL</v>
      </c>
      <c r="S469" t="str">
        <f t="shared" si="39"/>
        <v>ENDÜSTRİYEL</v>
      </c>
      <c r="T469" t="str">
        <f t="shared" si="35"/>
        <v>endustriyel</v>
      </c>
    </row>
    <row r="470" spans="1:20" x14ac:dyDescent="0.25">
      <c r="A470" t="s">
        <v>1422</v>
      </c>
      <c r="B470">
        <v>698</v>
      </c>
      <c r="C470" t="s">
        <v>2245</v>
      </c>
      <c r="D470" t="s">
        <v>431</v>
      </c>
      <c r="E470">
        <v>625</v>
      </c>
      <c r="F470" t="s">
        <v>0</v>
      </c>
      <c r="G470" t="s">
        <v>1553</v>
      </c>
      <c r="H470" t="s">
        <v>1425</v>
      </c>
      <c r="I470" t="s">
        <v>1426</v>
      </c>
      <c r="J470" t="s">
        <v>1426</v>
      </c>
      <c r="O470">
        <v>731</v>
      </c>
      <c r="P470" t="str">
        <f t="shared" si="36"/>
        <v>DÖNER OCAĞI KAPLANLI 2'Lİ GAZ EMNİYETLİ</v>
      </c>
      <c r="Q470" s="1">
        <f t="shared" si="37"/>
        <v>18100</v>
      </c>
      <c r="R470" t="str">
        <f t="shared" si="38"/>
        <v>TL</v>
      </c>
      <c r="S470" t="str">
        <f t="shared" si="39"/>
        <v>ENDÜSTRİYEL</v>
      </c>
      <c r="T470" t="str">
        <f t="shared" si="35"/>
        <v>endustriyel</v>
      </c>
    </row>
    <row r="471" spans="1:20" x14ac:dyDescent="0.25">
      <c r="A471" t="s">
        <v>1422</v>
      </c>
      <c r="B471">
        <v>699</v>
      </c>
      <c r="C471" t="s">
        <v>2244</v>
      </c>
      <c r="D471" t="s">
        <v>432</v>
      </c>
      <c r="E471">
        <v>350</v>
      </c>
      <c r="F471" t="s">
        <v>0</v>
      </c>
      <c r="G471" t="s">
        <v>1553</v>
      </c>
      <c r="H471" t="s">
        <v>1425</v>
      </c>
      <c r="I471" t="s">
        <v>1426</v>
      </c>
      <c r="J471" t="s">
        <v>1426</v>
      </c>
      <c r="O471">
        <v>732</v>
      </c>
      <c r="P471" t="str">
        <f t="shared" si="36"/>
        <v>DÖNER OCAĞI KAPLANLI 3'LÜ GAZ EMNİYETSİZ</v>
      </c>
      <c r="Q471" s="1">
        <f t="shared" si="37"/>
        <v>19000</v>
      </c>
      <c r="R471" t="str">
        <f t="shared" si="38"/>
        <v>TL</v>
      </c>
      <c r="S471" t="str">
        <f t="shared" si="39"/>
        <v>ENDÜSTRİYEL</v>
      </c>
      <c r="T471" t="str">
        <f t="shared" si="35"/>
        <v>endustriyel</v>
      </c>
    </row>
    <row r="472" spans="1:20" x14ac:dyDescent="0.25">
      <c r="A472" t="s">
        <v>1422</v>
      </c>
      <c r="B472">
        <v>700</v>
      </c>
      <c r="C472" t="s">
        <v>2243</v>
      </c>
      <c r="D472" t="s">
        <v>433</v>
      </c>
      <c r="E472">
        <v>400</v>
      </c>
      <c r="F472" t="s">
        <v>0</v>
      </c>
      <c r="G472" t="s">
        <v>1553</v>
      </c>
      <c r="H472" t="s">
        <v>1425</v>
      </c>
      <c r="I472" t="s">
        <v>1426</v>
      </c>
      <c r="J472" t="s">
        <v>1426</v>
      </c>
      <c r="O472">
        <v>733</v>
      </c>
      <c r="P472" t="str">
        <f t="shared" si="36"/>
        <v>DÖNER OCAĞI KAPLANLI 4'LÜ GAZ EMNİYETLİ</v>
      </c>
      <c r="Q472" s="1">
        <f t="shared" si="37"/>
        <v>30500</v>
      </c>
      <c r="R472" t="str">
        <f t="shared" si="38"/>
        <v>TL</v>
      </c>
      <c r="S472" t="str">
        <f t="shared" si="39"/>
        <v>ENDÜSTRİYEL</v>
      </c>
      <c r="T472" t="str">
        <f t="shared" si="35"/>
        <v>endustriyel</v>
      </c>
    </row>
    <row r="473" spans="1:20" x14ac:dyDescent="0.25">
      <c r="A473" t="s">
        <v>1422</v>
      </c>
      <c r="B473">
        <v>701</v>
      </c>
      <c r="C473" t="s">
        <v>2219</v>
      </c>
      <c r="D473" t="s">
        <v>434</v>
      </c>
      <c r="E473">
        <v>50</v>
      </c>
      <c r="F473" t="s">
        <v>0</v>
      </c>
      <c r="G473" t="s">
        <v>1553</v>
      </c>
      <c r="H473" t="s">
        <v>1425</v>
      </c>
      <c r="I473" t="s">
        <v>1426</v>
      </c>
      <c r="J473" t="s">
        <v>1426</v>
      </c>
      <c r="O473">
        <v>734</v>
      </c>
      <c r="P473" t="str">
        <f t="shared" si="36"/>
        <v>KAPLANLI 60x70 YER OCAĞI ÇİFT YANIŞLI</v>
      </c>
      <c r="Q473" s="1">
        <f t="shared" si="37"/>
        <v>29500</v>
      </c>
      <c r="R473" t="str">
        <f t="shared" si="38"/>
        <v>TL</v>
      </c>
      <c r="S473" t="str">
        <f t="shared" si="39"/>
        <v>ENDÜSTRİYEL</v>
      </c>
      <c r="T473" t="str">
        <f t="shared" si="35"/>
        <v>endustriyel</v>
      </c>
    </row>
    <row r="474" spans="1:20" x14ac:dyDescent="0.25">
      <c r="A474" t="s">
        <v>1422</v>
      </c>
      <c r="B474">
        <v>702</v>
      </c>
      <c r="C474" t="s">
        <v>2218</v>
      </c>
      <c r="D474" t="s">
        <v>435</v>
      </c>
      <c r="E474">
        <v>750</v>
      </c>
      <c r="F474" t="s">
        <v>0</v>
      </c>
      <c r="G474" t="s">
        <v>1525</v>
      </c>
      <c r="H474" t="s">
        <v>1425</v>
      </c>
      <c r="I474" t="s">
        <v>1426</v>
      </c>
      <c r="J474" t="s">
        <v>1426</v>
      </c>
      <c r="O474">
        <v>735</v>
      </c>
      <c r="P474" t="str">
        <f t="shared" si="36"/>
        <v>TOST MAKİNESİ KAPLANLI 8 DİLİM ELEKTRİKLİ</v>
      </c>
      <c r="Q474" s="1">
        <f t="shared" si="37"/>
        <v>12500</v>
      </c>
      <c r="R474" t="str">
        <f t="shared" si="38"/>
        <v>TL</v>
      </c>
      <c r="S474" t="str">
        <f t="shared" si="39"/>
        <v>ENDÜSTRİYEL</v>
      </c>
      <c r="T474" t="str">
        <f t="shared" si="35"/>
        <v>endustriyel</v>
      </c>
    </row>
    <row r="475" spans="1:20" x14ac:dyDescent="0.25">
      <c r="A475" t="s">
        <v>1422</v>
      </c>
      <c r="B475">
        <v>703</v>
      </c>
      <c r="C475" t="s">
        <v>2217</v>
      </c>
      <c r="D475" t="s">
        <v>436</v>
      </c>
      <c r="E475">
        <v>35</v>
      </c>
      <c r="F475" t="s">
        <v>0</v>
      </c>
      <c r="G475" t="s">
        <v>1553</v>
      </c>
      <c r="H475" t="s">
        <v>1425</v>
      </c>
      <c r="I475" t="s">
        <v>1426</v>
      </c>
      <c r="J475" t="s">
        <v>1426</v>
      </c>
      <c r="O475">
        <v>736</v>
      </c>
      <c r="P475" t="str">
        <f t="shared" si="36"/>
        <v>KAPLANLI PLEYT IZGARA 70 CM HAMBURGER KÖFTE</v>
      </c>
      <c r="Q475" s="1">
        <f t="shared" si="37"/>
        <v>12000</v>
      </c>
      <c r="R475" t="str">
        <f t="shared" si="38"/>
        <v>TL</v>
      </c>
      <c r="S475" t="str">
        <f t="shared" si="39"/>
        <v>ENDÜSTRİYEL</v>
      </c>
      <c r="T475" t="str">
        <f t="shared" si="35"/>
        <v>endustriyel</v>
      </c>
    </row>
    <row r="476" spans="1:20" x14ac:dyDescent="0.25">
      <c r="A476" t="s">
        <v>1422</v>
      </c>
      <c r="B476">
        <v>704</v>
      </c>
      <c r="C476" t="s">
        <v>2216</v>
      </c>
      <c r="D476" t="s">
        <v>437</v>
      </c>
      <c r="E476">
        <v>35</v>
      </c>
      <c r="F476" t="s">
        <v>0</v>
      </c>
      <c r="G476" t="s">
        <v>1553</v>
      </c>
      <c r="H476" t="s">
        <v>1425</v>
      </c>
      <c r="I476" t="s">
        <v>1426</v>
      </c>
      <c r="J476" t="s">
        <v>1426</v>
      </c>
      <c r="O476">
        <v>737</v>
      </c>
      <c r="P476" t="str">
        <f t="shared" si="36"/>
        <v>KARE VOLKAN MİNİ</v>
      </c>
      <c r="Q476" s="1">
        <f t="shared" si="37"/>
        <v>1800</v>
      </c>
      <c r="R476" t="str">
        <f t="shared" si="38"/>
        <v>TL</v>
      </c>
      <c r="S476" t="str">
        <f t="shared" si="39"/>
        <v>TÜP</v>
      </c>
      <c r="T476" t="str">
        <f t="shared" si="35"/>
        <v>tup</v>
      </c>
    </row>
    <row r="477" spans="1:20" x14ac:dyDescent="0.25">
      <c r="A477" t="s">
        <v>1422</v>
      </c>
      <c r="B477">
        <v>705</v>
      </c>
      <c r="C477" t="s">
        <v>2211</v>
      </c>
      <c r="D477" t="s">
        <v>438</v>
      </c>
      <c r="E477">
        <v>750</v>
      </c>
      <c r="F477" t="s">
        <v>0</v>
      </c>
      <c r="G477" t="s">
        <v>1525</v>
      </c>
      <c r="H477" t="s">
        <v>1425</v>
      </c>
      <c r="I477" t="s">
        <v>1426</v>
      </c>
      <c r="J477" t="s">
        <v>1426</v>
      </c>
      <c r="O477">
        <v>738</v>
      </c>
      <c r="P477" t="str">
        <f t="shared" si="36"/>
        <v>KARE VOLKAN PİK 35*35</v>
      </c>
      <c r="Q477" s="1">
        <f t="shared" si="37"/>
        <v>2100</v>
      </c>
      <c r="R477" t="str">
        <f t="shared" si="38"/>
        <v>TL</v>
      </c>
      <c r="S477" t="str">
        <f t="shared" si="39"/>
        <v>TÜP</v>
      </c>
      <c r="T477" t="str">
        <f t="shared" si="35"/>
        <v>tup</v>
      </c>
    </row>
    <row r="478" spans="1:20" x14ac:dyDescent="0.25">
      <c r="A478" t="s">
        <v>1422</v>
      </c>
      <c r="B478">
        <v>706</v>
      </c>
      <c r="C478" t="s">
        <v>2190</v>
      </c>
      <c r="D478" t="s">
        <v>439</v>
      </c>
      <c r="E478">
        <v>35</v>
      </c>
      <c r="F478" t="s">
        <v>0</v>
      </c>
      <c r="G478" t="s">
        <v>1553</v>
      </c>
      <c r="H478" t="s">
        <v>1425</v>
      </c>
      <c r="I478" t="s">
        <v>1426</v>
      </c>
      <c r="J478" t="s">
        <v>1426</v>
      </c>
      <c r="O478">
        <v>739</v>
      </c>
      <c r="P478" t="str">
        <f t="shared" si="36"/>
        <v>KARE VOLKAN PİK 40*40</v>
      </c>
      <c r="Q478" s="1">
        <f t="shared" si="37"/>
        <v>2500</v>
      </c>
      <c r="R478" t="str">
        <f t="shared" si="38"/>
        <v>TL</v>
      </c>
      <c r="S478" t="str">
        <f t="shared" si="39"/>
        <v>TÜP</v>
      </c>
      <c r="T478" t="str">
        <f t="shared" si="35"/>
        <v>tup</v>
      </c>
    </row>
    <row r="479" spans="1:20" x14ac:dyDescent="0.25">
      <c r="A479" t="s">
        <v>1422</v>
      </c>
      <c r="B479">
        <v>707</v>
      </c>
      <c r="C479" t="s">
        <v>2188</v>
      </c>
      <c r="D479" t="s">
        <v>440</v>
      </c>
      <c r="E479">
        <v>35</v>
      </c>
      <c r="F479" t="s">
        <v>0</v>
      </c>
      <c r="G479" t="s">
        <v>1553</v>
      </c>
      <c r="H479" t="s">
        <v>1425</v>
      </c>
      <c r="I479" t="s">
        <v>1426</v>
      </c>
      <c r="J479" t="s">
        <v>1426</v>
      </c>
      <c r="O479">
        <v>740</v>
      </c>
      <c r="P479" t="str">
        <f t="shared" si="36"/>
        <v>KATMER SAC MUSLUĞU</v>
      </c>
      <c r="Q479" s="1">
        <f t="shared" si="37"/>
        <v>200</v>
      </c>
      <c r="R479" t="str">
        <f t="shared" si="38"/>
        <v>TL</v>
      </c>
      <c r="S479" t="str">
        <f t="shared" si="39"/>
        <v>TÜP</v>
      </c>
      <c r="T479" t="str">
        <f t="shared" si="35"/>
        <v>tup</v>
      </c>
    </row>
    <row r="480" spans="1:20" x14ac:dyDescent="0.25">
      <c r="A480" t="s">
        <v>1422</v>
      </c>
      <c r="B480">
        <v>708</v>
      </c>
      <c r="C480" t="s">
        <v>2187</v>
      </c>
      <c r="D480" t="s">
        <v>441</v>
      </c>
      <c r="E480">
        <v>35</v>
      </c>
      <c r="F480" t="s">
        <v>0</v>
      </c>
      <c r="G480" t="s">
        <v>1553</v>
      </c>
      <c r="H480" t="s">
        <v>1425</v>
      </c>
      <c r="I480" t="s">
        <v>1426</v>
      </c>
      <c r="J480" t="s">
        <v>1426</v>
      </c>
      <c r="O480">
        <v>741</v>
      </c>
      <c r="P480" t="str">
        <f t="shared" si="36"/>
        <v>KAVURMA SAC MUSLUĞU AYGAZ</v>
      </c>
      <c r="Q480" s="1">
        <f t="shared" si="37"/>
        <v>200</v>
      </c>
      <c r="R480" t="str">
        <f t="shared" si="38"/>
        <v>TL</v>
      </c>
      <c r="S480" t="str">
        <f t="shared" si="39"/>
        <v>TÜP</v>
      </c>
      <c r="T480" t="str">
        <f t="shared" si="35"/>
        <v>tup</v>
      </c>
    </row>
    <row r="481" spans="1:20" x14ac:dyDescent="0.25">
      <c r="A481" t="s">
        <v>1422</v>
      </c>
      <c r="B481">
        <v>709</v>
      </c>
      <c r="C481" t="s">
        <v>1640</v>
      </c>
      <c r="D481" t="s">
        <v>442</v>
      </c>
      <c r="E481">
        <v>27.5</v>
      </c>
      <c r="F481" t="s">
        <v>0</v>
      </c>
      <c r="G481" t="s">
        <v>1553</v>
      </c>
      <c r="H481" t="s">
        <v>1425</v>
      </c>
      <c r="I481" t="s">
        <v>1426</v>
      </c>
      <c r="J481" t="s">
        <v>1426</v>
      </c>
      <c r="O481">
        <v>742</v>
      </c>
      <c r="P481" t="str">
        <f t="shared" si="36"/>
        <v>KAVURMA SAC MUSLUĞU İPRA</v>
      </c>
      <c r="Q481" s="1">
        <f t="shared" si="37"/>
        <v>200</v>
      </c>
      <c r="R481" t="str">
        <f t="shared" si="38"/>
        <v>TL</v>
      </c>
      <c r="S481" t="str">
        <f t="shared" si="39"/>
        <v>TÜP</v>
      </c>
      <c r="T481" t="str">
        <f t="shared" si="35"/>
        <v>tup</v>
      </c>
    </row>
    <row r="482" spans="1:20" x14ac:dyDescent="0.25">
      <c r="A482" t="s">
        <v>1422</v>
      </c>
      <c r="B482">
        <v>710</v>
      </c>
      <c r="C482" t="s">
        <v>2142</v>
      </c>
      <c r="D482" t="s">
        <v>443</v>
      </c>
      <c r="E482">
        <v>5050</v>
      </c>
      <c r="F482" t="s">
        <v>0</v>
      </c>
      <c r="G482" t="s">
        <v>1606</v>
      </c>
      <c r="H482" t="s">
        <v>1425</v>
      </c>
      <c r="I482" t="s">
        <v>1426</v>
      </c>
      <c r="J482" t="s">
        <v>1426</v>
      </c>
      <c r="O482">
        <v>743</v>
      </c>
      <c r="P482" t="str">
        <f t="shared" si="36"/>
        <v>KELEPÇE</v>
      </c>
      <c r="Q482" s="1">
        <f t="shared" si="37"/>
        <v>13</v>
      </c>
      <c r="R482" t="str">
        <f t="shared" si="38"/>
        <v>TL</v>
      </c>
      <c r="S482" t="str">
        <f t="shared" si="39"/>
        <v>TÜP</v>
      </c>
      <c r="T482" t="str">
        <f t="shared" si="35"/>
        <v>tup</v>
      </c>
    </row>
    <row r="483" spans="1:20" x14ac:dyDescent="0.25">
      <c r="A483" t="s">
        <v>1422</v>
      </c>
      <c r="B483">
        <v>711</v>
      </c>
      <c r="C483" t="s">
        <v>2209</v>
      </c>
      <c r="D483" t="s">
        <v>444</v>
      </c>
      <c r="E483">
        <v>950</v>
      </c>
      <c r="F483" t="s">
        <v>0</v>
      </c>
      <c r="G483" t="s">
        <v>1525</v>
      </c>
      <c r="H483" t="s">
        <v>1425</v>
      </c>
      <c r="I483" t="s">
        <v>1426</v>
      </c>
      <c r="J483" t="s">
        <v>1426</v>
      </c>
      <c r="O483">
        <v>744</v>
      </c>
      <c r="P483" t="str">
        <f t="shared" si="36"/>
        <v>KELEPÇELİ IZGARA</v>
      </c>
      <c r="Q483" s="1">
        <f t="shared" si="37"/>
        <v>130</v>
      </c>
      <c r="R483" t="str">
        <f t="shared" si="38"/>
        <v>TL</v>
      </c>
      <c r="S483" t="str">
        <f t="shared" si="39"/>
        <v>TÜP</v>
      </c>
      <c r="T483" t="str">
        <f t="shared" si="35"/>
        <v>tup</v>
      </c>
    </row>
    <row r="484" spans="1:20" x14ac:dyDescent="0.25">
      <c r="A484" t="s">
        <v>1422</v>
      </c>
      <c r="B484">
        <v>712</v>
      </c>
      <c r="C484" t="s">
        <v>2165</v>
      </c>
      <c r="D484" t="s">
        <v>445</v>
      </c>
      <c r="E484">
        <v>45</v>
      </c>
      <c r="F484" t="s">
        <v>0</v>
      </c>
      <c r="G484" t="s">
        <v>1553</v>
      </c>
      <c r="H484" t="s">
        <v>1425</v>
      </c>
      <c r="I484" t="s">
        <v>1426</v>
      </c>
      <c r="J484" t="s">
        <v>1426</v>
      </c>
      <c r="O484">
        <v>745</v>
      </c>
      <c r="P484" t="str">
        <f t="shared" si="36"/>
        <v>KÜNEFE OCAĞI SEYYAR</v>
      </c>
      <c r="Q484" s="1">
        <f t="shared" si="37"/>
        <v>1500</v>
      </c>
      <c r="R484" t="str">
        <f t="shared" si="38"/>
        <v>TL</v>
      </c>
      <c r="S484" t="str">
        <f t="shared" si="39"/>
        <v>TÜP</v>
      </c>
      <c r="T484" t="str">
        <f t="shared" si="35"/>
        <v>tup</v>
      </c>
    </row>
    <row r="485" spans="1:20" x14ac:dyDescent="0.25">
      <c r="A485" t="s">
        <v>1422</v>
      </c>
      <c r="B485">
        <v>713</v>
      </c>
      <c r="C485" t="s">
        <v>2161</v>
      </c>
      <c r="D485" t="s">
        <v>446</v>
      </c>
      <c r="E485">
        <v>0</v>
      </c>
      <c r="F485" t="s">
        <v>0</v>
      </c>
      <c r="G485" t="s">
        <v>1553</v>
      </c>
      <c r="H485" t="s">
        <v>1425</v>
      </c>
      <c r="I485" t="s">
        <v>1426</v>
      </c>
      <c r="J485" t="s">
        <v>1426</v>
      </c>
      <c r="O485">
        <v>746</v>
      </c>
      <c r="P485" t="str">
        <f t="shared" si="36"/>
        <v>KÜNEFE OCAK MUSLUĞU</v>
      </c>
      <c r="Q485" s="1">
        <f t="shared" si="37"/>
        <v>200</v>
      </c>
      <c r="R485" t="str">
        <f t="shared" si="38"/>
        <v>TL</v>
      </c>
      <c r="S485" t="str">
        <f t="shared" si="39"/>
        <v>TÜP</v>
      </c>
      <c r="T485" t="str">
        <f t="shared" si="35"/>
        <v>tup</v>
      </c>
    </row>
    <row r="486" spans="1:20" x14ac:dyDescent="0.25">
      <c r="A486" t="s">
        <v>1422</v>
      </c>
      <c r="B486">
        <v>714</v>
      </c>
      <c r="C486" t="s">
        <v>2160</v>
      </c>
      <c r="D486" t="s">
        <v>447</v>
      </c>
      <c r="E486">
        <v>0</v>
      </c>
      <c r="F486" t="s">
        <v>0</v>
      </c>
      <c r="G486" t="s">
        <v>1553</v>
      </c>
      <c r="H486" t="s">
        <v>1425</v>
      </c>
      <c r="I486" t="s">
        <v>1426</v>
      </c>
      <c r="J486" t="s">
        <v>1426</v>
      </c>
      <c r="O486">
        <v>747</v>
      </c>
      <c r="P486" t="str">
        <f t="shared" si="36"/>
        <v>LİMİTED DEBİLİ SANAYİ DEDANTÖR</v>
      </c>
      <c r="Q486" s="1">
        <f t="shared" si="37"/>
        <v>1100</v>
      </c>
      <c r="R486" t="str">
        <f t="shared" si="38"/>
        <v>TL</v>
      </c>
      <c r="S486" t="str">
        <f t="shared" si="39"/>
        <v>TÜP</v>
      </c>
      <c r="T486" t="str">
        <f t="shared" si="35"/>
        <v>tup</v>
      </c>
    </row>
    <row r="487" spans="1:20" x14ac:dyDescent="0.25">
      <c r="A487" t="s">
        <v>1422</v>
      </c>
      <c r="B487">
        <v>716</v>
      </c>
      <c r="C487" t="s">
        <v>2164</v>
      </c>
      <c r="D487" t="s">
        <v>448</v>
      </c>
      <c r="E487">
        <v>440</v>
      </c>
      <c r="F487" t="s">
        <v>0</v>
      </c>
      <c r="G487" t="s">
        <v>1553</v>
      </c>
      <c r="H487" t="s">
        <v>1676</v>
      </c>
      <c r="I487" t="s">
        <v>1426</v>
      </c>
      <c r="J487" t="s">
        <v>1426</v>
      </c>
      <c r="O487">
        <v>748</v>
      </c>
      <c r="P487" t="str">
        <f t="shared" si="36"/>
        <v>LİMİTED KİLİTLİ METAL DEDANTÖR 10 MM</v>
      </c>
      <c r="Q487" s="1">
        <f t="shared" si="37"/>
        <v>600</v>
      </c>
      <c r="R487" t="str">
        <f t="shared" si="38"/>
        <v>TL</v>
      </c>
      <c r="S487" t="str">
        <f t="shared" si="39"/>
        <v>TÜP</v>
      </c>
      <c r="T487" t="str">
        <f t="shared" si="35"/>
        <v>tup</v>
      </c>
    </row>
    <row r="488" spans="1:20" x14ac:dyDescent="0.25">
      <c r="A488" t="s">
        <v>1422</v>
      </c>
      <c r="B488">
        <v>717</v>
      </c>
      <c r="C488" t="s">
        <v>2163</v>
      </c>
      <c r="D488" t="s">
        <v>449</v>
      </c>
      <c r="E488">
        <v>100</v>
      </c>
      <c r="F488" t="s">
        <v>0</v>
      </c>
      <c r="G488" t="s">
        <v>1553</v>
      </c>
      <c r="H488" t="s">
        <v>1425</v>
      </c>
      <c r="I488" t="s">
        <v>1426</v>
      </c>
      <c r="J488" t="s">
        <v>1426</v>
      </c>
      <c r="O488">
        <v>749</v>
      </c>
      <c r="P488" t="str">
        <f t="shared" si="36"/>
        <v>LİMİTED KİLİTLİ METAL DEDANTÖR 8MM</v>
      </c>
      <c r="Q488" s="1">
        <f t="shared" si="37"/>
        <v>600</v>
      </c>
      <c r="R488" t="str">
        <f t="shared" si="38"/>
        <v>TL</v>
      </c>
      <c r="S488" t="str">
        <f t="shared" si="39"/>
        <v>TÜP</v>
      </c>
      <c r="T488" t="str">
        <f t="shared" si="35"/>
        <v>tup</v>
      </c>
    </row>
    <row r="489" spans="1:20" x14ac:dyDescent="0.25">
      <c r="A489" t="s">
        <v>1422</v>
      </c>
      <c r="B489">
        <v>718</v>
      </c>
      <c r="C489" t="s">
        <v>2162</v>
      </c>
      <c r="D489" t="s">
        <v>450</v>
      </c>
      <c r="E489">
        <v>95</v>
      </c>
      <c r="F489" t="s">
        <v>0</v>
      </c>
      <c r="G489" t="s">
        <v>1553</v>
      </c>
      <c r="H489" t="s">
        <v>1425</v>
      </c>
      <c r="I489" t="s">
        <v>1426</v>
      </c>
      <c r="J489" t="s">
        <v>1426</v>
      </c>
      <c r="O489">
        <v>750</v>
      </c>
      <c r="P489" t="str">
        <f t="shared" si="36"/>
        <v>LİMİTED METAL DEDANTÖR</v>
      </c>
      <c r="Q489" s="1">
        <f t="shared" si="37"/>
        <v>600</v>
      </c>
      <c r="R489" t="str">
        <f t="shared" si="38"/>
        <v>TL</v>
      </c>
      <c r="S489" t="str">
        <f t="shared" si="39"/>
        <v>TÜP</v>
      </c>
      <c r="T489" t="str">
        <f t="shared" si="35"/>
        <v>tup</v>
      </c>
    </row>
    <row r="490" spans="1:20" x14ac:dyDescent="0.25">
      <c r="A490" t="s">
        <v>1422</v>
      </c>
      <c r="B490">
        <v>719</v>
      </c>
      <c r="C490" t="s">
        <v>2152</v>
      </c>
      <c r="D490" t="s">
        <v>451</v>
      </c>
      <c r="E490">
        <v>0</v>
      </c>
      <c r="F490" t="s">
        <v>0</v>
      </c>
      <c r="G490" t="s">
        <v>1553</v>
      </c>
      <c r="H490" t="s">
        <v>1425</v>
      </c>
      <c r="I490" t="s">
        <v>1426</v>
      </c>
      <c r="J490" t="s">
        <v>1426</v>
      </c>
      <c r="O490">
        <v>751</v>
      </c>
      <c r="P490" t="str">
        <f t="shared" si="36"/>
        <v xml:space="preserve">LİMİTED NOVA KİLİTLİ DEDANTÖR </v>
      </c>
      <c r="Q490" s="1">
        <f t="shared" si="37"/>
        <v>600</v>
      </c>
      <c r="R490" t="str">
        <f t="shared" si="38"/>
        <v>TL</v>
      </c>
      <c r="S490" t="str">
        <f t="shared" si="39"/>
        <v>TÜP</v>
      </c>
      <c r="T490" t="str">
        <f t="shared" si="35"/>
        <v>tup</v>
      </c>
    </row>
    <row r="491" spans="1:20" x14ac:dyDescent="0.25">
      <c r="A491" t="s">
        <v>1422</v>
      </c>
      <c r="B491">
        <v>720</v>
      </c>
      <c r="C491" t="s">
        <v>2151</v>
      </c>
      <c r="D491" t="s">
        <v>452</v>
      </c>
      <c r="E491">
        <v>100</v>
      </c>
      <c r="F491" t="s">
        <v>0</v>
      </c>
      <c r="G491" t="s">
        <v>1553</v>
      </c>
      <c r="H491" t="s">
        <v>1425</v>
      </c>
      <c r="I491" t="s">
        <v>1426</v>
      </c>
      <c r="J491" t="s">
        <v>1426</v>
      </c>
      <c r="O491">
        <v>752</v>
      </c>
      <c r="P491" t="str">
        <f t="shared" si="36"/>
        <v>LİMİTED UFAK SANAYİ DEDANTÖR</v>
      </c>
      <c r="Q491" s="1">
        <f t="shared" si="37"/>
        <v>600</v>
      </c>
      <c r="R491" t="str">
        <f t="shared" si="38"/>
        <v>TL</v>
      </c>
      <c r="S491" t="str">
        <f t="shared" si="39"/>
        <v>TÜP</v>
      </c>
      <c r="T491" t="str">
        <f t="shared" si="35"/>
        <v>tup</v>
      </c>
    </row>
    <row r="492" spans="1:20" x14ac:dyDescent="0.25">
      <c r="A492" t="s">
        <v>1422</v>
      </c>
      <c r="B492">
        <v>721</v>
      </c>
      <c r="C492" t="s">
        <v>2150</v>
      </c>
      <c r="D492" t="s">
        <v>453</v>
      </c>
      <c r="E492">
        <v>100</v>
      </c>
      <c r="F492" t="s">
        <v>0</v>
      </c>
      <c r="G492" t="s">
        <v>1553</v>
      </c>
      <c r="H492" t="s">
        <v>1425</v>
      </c>
      <c r="I492" t="s">
        <v>1426</v>
      </c>
      <c r="J492" t="s">
        <v>1426</v>
      </c>
      <c r="O492">
        <v>753</v>
      </c>
      <c r="P492" t="str">
        <f t="shared" si="36"/>
        <v>LOKANTA OCAĞI 2'Lİ KISA AYAK LPG</v>
      </c>
      <c r="Q492" s="1">
        <f t="shared" si="37"/>
        <v>12000</v>
      </c>
      <c r="R492" t="str">
        <f t="shared" si="38"/>
        <v>TL</v>
      </c>
      <c r="S492" t="str">
        <f t="shared" si="39"/>
        <v>ENDÜSTRİYEL</v>
      </c>
      <c r="T492" t="str">
        <f t="shared" si="35"/>
        <v>endustriyel</v>
      </c>
    </row>
    <row r="493" spans="1:20" x14ac:dyDescent="0.25">
      <c r="A493" t="s">
        <v>1422</v>
      </c>
      <c r="B493">
        <v>722</v>
      </c>
      <c r="C493" t="s">
        <v>2149</v>
      </c>
      <c r="D493" t="s">
        <v>454</v>
      </c>
      <c r="E493">
        <v>100</v>
      </c>
      <c r="F493" t="s">
        <v>0</v>
      </c>
      <c r="G493" t="s">
        <v>1553</v>
      </c>
      <c r="H493" t="s">
        <v>1425</v>
      </c>
      <c r="I493" t="s">
        <v>1426</v>
      </c>
      <c r="J493" t="s">
        <v>1426</v>
      </c>
      <c r="O493">
        <v>754</v>
      </c>
      <c r="P493" t="str">
        <f t="shared" si="36"/>
        <v>LOKANTA OCAĞI 2'Lİ UZUN AYAK</v>
      </c>
      <c r="Q493" s="1">
        <f t="shared" si="37"/>
        <v>13200</v>
      </c>
      <c r="R493" t="str">
        <f t="shared" si="38"/>
        <v>TL</v>
      </c>
      <c r="S493" t="str">
        <f t="shared" si="39"/>
        <v>ENDÜSTRİYEL</v>
      </c>
      <c r="T493" t="str">
        <f t="shared" si="35"/>
        <v>endustriyel</v>
      </c>
    </row>
    <row r="494" spans="1:20" x14ac:dyDescent="0.25">
      <c r="A494" t="s">
        <v>1422</v>
      </c>
      <c r="B494">
        <v>723</v>
      </c>
      <c r="C494" t="s">
        <v>2148</v>
      </c>
      <c r="D494" t="s">
        <v>455</v>
      </c>
      <c r="E494">
        <v>100</v>
      </c>
      <c r="F494" t="s">
        <v>0</v>
      </c>
      <c r="G494" t="s">
        <v>1553</v>
      </c>
      <c r="H494" t="s">
        <v>1425</v>
      </c>
      <c r="I494" t="s">
        <v>1426</v>
      </c>
      <c r="J494" t="s">
        <v>1426</v>
      </c>
      <c r="O494">
        <v>755</v>
      </c>
      <c r="P494" t="str">
        <f t="shared" si="36"/>
        <v>LOKANTA OCAĞI 3'LÜ KISA AYAK LPG</v>
      </c>
      <c r="Q494" s="1">
        <f t="shared" si="37"/>
        <v>14000</v>
      </c>
      <c r="R494" t="str">
        <f t="shared" si="38"/>
        <v>TL</v>
      </c>
      <c r="S494" t="str">
        <f t="shared" si="39"/>
        <v>ENDÜSTRİYEL</v>
      </c>
      <c r="T494" t="str">
        <f t="shared" si="35"/>
        <v>endustriyel</v>
      </c>
    </row>
    <row r="495" spans="1:20" x14ac:dyDescent="0.25">
      <c r="A495" t="s">
        <v>1422</v>
      </c>
      <c r="B495">
        <v>724</v>
      </c>
      <c r="C495" t="s">
        <v>2147</v>
      </c>
      <c r="D495" t="s">
        <v>456</v>
      </c>
      <c r="E495">
        <v>100</v>
      </c>
      <c r="F495" t="s">
        <v>0</v>
      </c>
      <c r="G495" t="s">
        <v>1553</v>
      </c>
      <c r="H495" t="s">
        <v>1425</v>
      </c>
      <c r="I495" t="s">
        <v>1426</v>
      </c>
      <c r="J495" t="s">
        <v>1426</v>
      </c>
      <c r="O495">
        <v>756</v>
      </c>
      <c r="P495" t="str">
        <f t="shared" si="36"/>
        <v>LOKANTA OCAĞI 3'LÜ UZUN AYAK</v>
      </c>
      <c r="Q495" s="1">
        <f t="shared" si="37"/>
        <v>15000</v>
      </c>
      <c r="R495" t="str">
        <f t="shared" si="38"/>
        <v>TL</v>
      </c>
      <c r="S495" t="str">
        <f t="shared" si="39"/>
        <v>ENDÜSTRİYEL</v>
      </c>
      <c r="T495" t="str">
        <f t="shared" si="35"/>
        <v>endustriyel</v>
      </c>
    </row>
    <row r="496" spans="1:20" x14ac:dyDescent="0.25">
      <c r="A496" t="s">
        <v>1422</v>
      </c>
      <c r="B496">
        <v>725</v>
      </c>
      <c r="C496" t="s">
        <v>2146</v>
      </c>
      <c r="D496" t="s">
        <v>457</v>
      </c>
      <c r="E496">
        <v>100</v>
      </c>
      <c r="F496" t="s">
        <v>0</v>
      </c>
      <c r="G496" t="s">
        <v>1553</v>
      </c>
      <c r="H496" t="s">
        <v>1425</v>
      </c>
      <c r="I496" t="s">
        <v>1426</v>
      </c>
      <c r="J496" t="s">
        <v>1426</v>
      </c>
      <c r="O496">
        <v>757</v>
      </c>
      <c r="P496" t="str">
        <f t="shared" si="36"/>
        <v>LOKANTA OCAĞI TEKLİ UZUN AYAK</v>
      </c>
      <c r="Q496" s="1">
        <f t="shared" si="37"/>
        <v>7200</v>
      </c>
      <c r="R496" t="str">
        <f t="shared" si="38"/>
        <v>TL</v>
      </c>
      <c r="S496" t="str">
        <f t="shared" si="39"/>
        <v>ENDÜSTRİYEL</v>
      </c>
      <c r="T496" t="str">
        <f t="shared" si="35"/>
        <v>endustriyel</v>
      </c>
    </row>
    <row r="497" spans="1:20" x14ac:dyDescent="0.25">
      <c r="A497" t="s">
        <v>1422</v>
      </c>
      <c r="B497">
        <v>726</v>
      </c>
      <c r="C497" t="s">
        <v>2145</v>
      </c>
      <c r="D497" t="s">
        <v>458</v>
      </c>
      <c r="E497">
        <v>100</v>
      </c>
      <c r="F497" t="s">
        <v>0</v>
      </c>
      <c r="G497" t="s">
        <v>1553</v>
      </c>
      <c r="H497" t="s">
        <v>1425</v>
      </c>
      <c r="I497" t="s">
        <v>1426</v>
      </c>
      <c r="J497" t="s">
        <v>1426</v>
      </c>
      <c r="O497">
        <v>758</v>
      </c>
      <c r="P497" t="str">
        <f t="shared" si="36"/>
        <v>LÜKS CAMI</v>
      </c>
      <c r="Q497" s="1">
        <f t="shared" si="37"/>
        <v>300</v>
      </c>
      <c r="R497" t="str">
        <f t="shared" si="38"/>
        <v>TL</v>
      </c>
      <c r="S497" t="str">
        <f t="shared" si="39"/>
        <v>TÜP</v>
      </c>
      <c r="T497" t="str">
        <f t="shared" si="35"/>
        <v>tup</v>
      </c>
    </row>
    <row r="498" spans="1:20" x14ac:dyDescent="0.25">
      <c r="A498" t="s">
        <v>1422</v>
      </c>
      <c r="B498">
        <v>727</v>
      </c>
      <c r="C498" t="s">
        <v>1609</v>
      </c>
      <c r="D498" t="s">
        <v>459</v>
      </c>
      <c r="E498">
        <v>7500</v>
      </c>
      <c r="F498" t="s">
        <v>0</v>
      </c>
      <c r="G498" t="s">
        <v>1606</v>
      </c>
      <c r="H498" t="s">
        <v>1425</v>
      </c>
      <c r="I498" t="s">
        <v>1426</v>
      </c>
      <c r="J498" t="s">
        <v>1426</v>
      </c>
      <c r="O498">
        <v>759</v>
      </c>
      <c r="P498" t="str">
        <f t="shared" si="36"/>
        <v>LÜKS GÖMLEĞİ ÇENGELLİ NURGAZ</v>
      </c>
      <c r="Q498" s="1">
        <f t="shared" si="37"/>
        <v>50</v>
      </c>
      <c r="R498" t="str">
        <f t="shared" si="38"/>
        <v>TL</v>
      </c>
      <c r="S498" t="str">
        <f t="shared" si="39"/>
        <v>TÜP</v>
      </c>
      <c r="T498" t="str">
        <f t="shared" si="35"/>
        <v>tup</v>
      </c>
    </row>
    <row r="499" spans="1:20" x14ac:dyDescent="0.25">
      <c r="A499" t="s">
        <v>1422</v>
      </c>
      <c r="B499">
        <v>728</v>
      </c>
      <c r="C499" t="s">
        <v>1685</v>
      </c>
      <c r="D499" t="s">
        <v>460</v>
      </c>
      <c r="E499">
        <v>4000</v>
      </c>
      <c r="F499" t="s">
        <v>0</v>
      </c>
      <c r="G499" t="s">
        <v>1525</v>
      </c>
      <c r="H499" t="s">
        <v>1425</v>
      </c>
      <c r="I499" t="s">
        <v>1426</v>
      </c>
      <c r="J499" t="s">
        <v>1426</v>
      </c>
      <c r="O499">
        <v>760</v>
      </c>
      <c r="P499" t="str">
        <f t="shared" si="36"/>
        <v>LÜKS GÖMLEĞİ ÇENGELLİ ORGAZ</v>
      </c>
      <c r="Q499" s="1">
        <f t="shared" si="37"/>
        <v>35</v>
      </c>
      <c r="R499" t="str">
        <f t="shared" si="38"/>
        <v>TL</v>
      </c>
      <c r="S499" t="str">
        <f t="shared" si="39"/>
        <v>TÜP</v>
      </c>
      <c r="T499" t="str">
        <f t="shared" si="35"/>
        <v>tup</v>
      </c>
    </row>
    <row r="500" spans="1:20" x14ac:dyDescent="0.25">
      <c r="A500" t="s">
        <v>1422</v>
      </c>
      <c r="B500">
        <v>729</v>
      </c>
      <c r="C500" t="s">
        <v>1608</v>
      </c>
      <c r="D500" t="s">
        <v>461</v>
      </c>
      <c r="E500">
        <v>7850</v>
      </c>
      <c r="F500" t="s">
        <v>0</v>
      </c>
      <c r="G500" t="s">
        <v>1606</v>
      </c>
      <c r="H500" t="s">
        <v>1425</v>
      </c>
      <c r="I500" t="s">
        <v>1426</v>
      </c>
      <c r="J500" t="s">
        <v>1426</v>
      </c>
      <c r="O500">
        <v>761</v>
      </c>
      <c r="P500" t="str">
        <f t="shared" si="36"/>
        <v>LÜKS GÖMLEĞİ İPLİ</v>
      </c>
      <c r="Q500" s="1">
        <f t="shared" si="37"/>
        <v>20</v>
      </c>
      <c r="R500" t="str">
        <f t="shared" si="38"/>
        <v>TL</v>
      </c>
      <c r="S500" t="str">
        <f t="shared" si="39"/>
        <v>TÜP</v>
      </c>
      <c r="T500" t="str">
        <f t="shared" si="35"/>
        <v>tup</v>
      </c>
    </row>
    <row r="501" spans="1:20" x14ac:dyDescent="0.25">
      <c r="A501" t="s">
        <v>1422</v>
      </c>
      <c r="B501">
        <v>730</v>
      </c>
      <c r="C501" t="s">
        <v>1607</v>
      </c>
      <c r="D501" t="s">
        <v>462</v>
      </c>
      <c r="E501">
        <v>13250</v>
      </c>
      <c r="F501" t="s">
        <v>0</v>
      </c>
      <c r="G501" t="s">
        <v>1606</v>
      </c>
      <c r="H501" t="s">
        <v>1425</v>
      </c>
      <c r="I501" t="s">
        <v>1426</v>
      </c>
      <c r="J501" t="s">
        <v>1426</v>
      </c>
      <c r="O501">
        <v>762</v>
      </c>
      <c r="P501" t="str">
        <f t="shared" si="36"/>
        <v>MEDD KAMP OCAK AYGAZ</v>
      </c>
      <c r="Q501" s="1">
        <f t="shared" si="37"/>
        <v>370</v>
      </c>
      <c r="R501" t="str">
        <f t="shared" si="38"/>
        <v>TL</v>
      </c>
      <c r="S501" t="str">
        <f t="shared" si="39"/>
        <v>TÜP</v>
      </c>
      <c r="T501" t="str">
        <f t="shared" si="35"/>
        <v>tup</v>
      </c>
    </row>
    <row r="502" spans="1:20" x14ac:dyDescent="0.25">
      <c r="A502" t="s">
        <v>1422</v>
      </c>
      <c r="B502">
        <v>731</v>
      </c>
      <c r="C502" t="s">
        <v>2232</v>
      </c>
      <c r="D502" t="s">
        <v>463</v>
      </c>
      <c r="E502">
        <v>9050</v>
      </c>
      <c r="F502" t="s">
        <v>0</v>
      </c>
      <c r="G502" t="s">
        <v>1606</v>
      </c>
      <c r="H502" t="s">
        <v>1425</v>
      </c>
      <c r="I502" t="s">
        <v>1426</v>
      </c>
      <c r="J502" t="s">
        <v>1426</v>
      </c>
      <c r="O502">
        <v>763</v>
      </c>
      <c r="P502" t="str">
        <f t="shared" si="36"/>
        <v xml:space="preserve">MEDD SİBOBLU KAMP OCAK </v>
      </c>
      <c r="Q502" s="1">
        <f t="shared" si="37"/>
        <v>400</v>
      </c>
      <c r="R502" t="str">
        <f t="shared" si="38"/>
        <v>TL</v>
      </c>
      <c r="S502" t="str">
        <f t="shared" si="39"/>
        <v>TÜP</v>
      </c>
      <c r="T502" t="str">
        <f t="shared" si="35"/>
        <v>tup</v>
      </c>
    </row>
    <row r="503" spans="1:20" x14ac:dyDescent="0.25">
      <c r="A503" t="s">
        <v>1422</v>
      </c>
      <c r="B503">
        <v>732</v>
      </c>
      <c r="C503" t="s">
        <v>2231</v>
      </c>
      <c r="D503" t="s">
        <v>464</v>
      </c>
      <c r="E503">
        <v>9500</v>
      </c>
      <c r="F503" t="s">
        <v>0</v>
      </c>
      <c r="G503" t="s">
        <v>1606</v>
      </c>
      <c r="H503" t="s">
        <v>1425</v>
      </c>
      <c r="I503" t="s">
        <v>1426</v>
      </c>
      <c r="J503" t="s">
        <v>1426</v>
      </c>
      <c r="O503">
        <v>764</v>
      </c>
      <c r="P503" t="str">
        <f t="shared" si="36"/>
        <v>MEDD TURBO KAMP OCAK AYGAZ</v>
      </c>
      <c r="Q503" s="1">
        <f t="shared" si="37"/>
        <v>370</v>
      </c>
      <c r="R503" t="str">
        <f t="shared" si="38"/>
        <v>TL</v>
      </c>
      <c r="S503" t="str">
        <f t="shared" si="39"/>
        <v>TÜP</v>
      </c>
      <c r="T503" t="str">
        <f t="shared" si="35"/>
        <v>tup</v>
      </c>
    </row>
    <row r="504" spans="1:20" x14ac:dyDescent="0.25">
      <c r="A504" t="s">
        <v>1422</v>
      </c>
      <c r="B504">
        <v>733</v>
      </c>
      <c r="C504" t="s">
        <v>2229</v>
      </c>
      <c r="D504" t="s">
        <v>465</v>
      </c>
      <c r="E504">
        <v>15250</v>
      </c>
      <c r="F504" t="s">
        <v>0</v>
      </c>
      <c r="G504" t="s">
        <v>1606</v>
      </c>
      <c r="H504" t="s">
        <v>1425</v>
      </c>
      <c r="I504" t="s">
        <v>1426</v>
      </c>
      <c r="J504" t="s">
        <v>1426</v>
      </c>
      <c r="O504">
        <v>765</v>
      </c>
      <c r="P504" t="str">
        <f t="shared" si="36"/>
        <v xml:space="preserve">MEDD TURBO KAMP OCAK İPRA </v>
      </c>
      <c r="Q504" s="1">
        <f t="shared" si="37"/>
        <v>390</v>
      </c>
      <c r="R504" t="str">
        <f t="shared" si="38"/>
        <v>TL</v>
      </c>
      <c r="S504" t="str">
        <f t="shared" si="39"/>
        <v>TÜP</v>
      </c>
      <c r="T504" t="str">
        <f t="shared" si="35"/>
        <v>tup</v>
      </c>
    </row>
    <row r="505" spans="1:20" x14ac:dyDescent="0.25">
      <c r="A505" t="s">
        <v>1422</v>
      </c>
      <c r="B505">
        <v>734</v>
      </c>
      <c r="C505" t="s">
        <v>2144</v>
      </c>
      <c r="D505" t="s">
        <v>466</v>
      </c>
      <c r="E505">
        <v>14750</v>
      </c>
      <c r="F505" t="s">
        <v>0</v>
      </c>
      <c r="G505" t="s">
        <v>1606</v>
      </c>
      <c r="H505" t="s">
        <v>1425</v>
      </c>
      <c r="I505" t="s">
        <v>1426</v>
      </c>
      <c r="J505" t="s">
        <v>1426</v>
      </c>
      <c r="O505">
        <v>766</v>
      </c>
      <c r="P505" t="str">
        <f t="shared" si="36"/>
        <v>MEGA IZGARA</v>
      </c>
      <c r="Q505" s="1">
        <f t="shared" si="37"/>
        <v>130</v>
      </c>
      <c r="R505" t="str">
        <f t="shared" si="38"/>
        <v>TL</v>
      </c>
      <c r="S505" t="str">
        <f t="shared" si="39"/>
        <v>TÜP</v>
      </c>
      <c r="T505" t="str">
        <f t="shared" si="35"/>
        <v>tup</v>
      </c>
    </row>
    <row r="506" spans="1:20" x14ac:dyDescent="0.25">
      <c r="A506" t="s">
        <v>1422</v>
      </c>
      <c r="B506">
        <v>735</v>
      </c>
      <c r="C506" t="s">
        <v>1605</v>
      </c>
      <c r="D506" t="s">
        <v>467</v>
      </c>
      <c r="E506">
        <v>6250</v>
      </c>
      <c r="F506" t="s">
        <v>0</v>
      </c>
      <c r="G506" t="s">
        <v>1606</v>
      </c>
      <c r="H506" t="s">
        <v>1425</v>
      </c>
      <c r="I506" t="s">
        <v>1426</v>
      </c>
      <c r="J506" t="s">
        <v>1426</v>
      </c>
      <c r="O506">
        <v>767</v>
      </c>
      <c r="P506" t="str">
        <f t="shared" si="36"/>
        <v>MURAT 500'LÜK VANALI DEDANTÖR</v>
      </c>
      <c r="Q506" s="1">
        <f t="shared" si="37"/>
        <v>660</v>
      </c>
      <c r="R506" t="str">
        <f t="shared" si="38"/>
        <v>TL</v>
      </c>
      <c r="S506" t="str">
        <f t="shared" si="39"/>
        <v>TÜP</v>
      </c>
      <c r="T506" t="str">
        <f t="shared" si="35"/>
        <v>tup</v>
      </c>
    </row>
    <row r="507" spans="1:20" x14ac:dyDescent="0.25">
      <c r="A507" t="s">
        <v>1422</v>
      </c>
      <c r="B507">
        <v>736</v>
      </c>
      <c r="C507" t="s">
        <v>2140</v>
      </c>
      <c r="D507" t="s">
        <v>468</v>
      </c>
      <c r="E507">
        <v>6000</v>
      </c>
      <c r="F507" t="s">
        <v>0</v>
      </c>
      <c r="G507" t="s">
        <v>1606</v>
      </c>
      <c r="H507" t="s">
        <v>1425</v>
      </c>
      <c r="I507" t="s">
        <v>1426</v>
      </c>
      <c r="J507" t="s">
        <v>1426</v>
      </c>
      <c r="O507">
        <v>768</v>
      </c>
      <c r="P507" t="str">
        <f t="shared" si="36"/>
        <v>MURAT DEBİLİ SANAYİ DEDANTÖR</v>
      </c>
      <c r="Q507" s="1">
        <f t="shared" si="37"/>
        <v>1300</v>
      </c>
      <c r="R507" t="str">
        <f t="shared" si="38"/>
        <v>TL</v>
      </c>
      <c r="S507" t="str">
        <f t="shared" si="39"/>
        <v>TÜP</v>
      </c>
      <c r="T507" t="str">
        <f t="shared" ref="T507:T570" si="40">IF(S507="KEA","kea",IF(S507="MOBİLYA","mobilya",IF(S507="TÜP","tup",IF(S507="MASA-SAND-SEHPA-ZİGON","mssz",IF(S507="ENDÜSTRİYEL","endustriyel",IF(S507="YEDEK PARÇA","diger",""))))))</f>
        <v>tup</v>
      </c>
    </row>
    <row r="508" spans="1:20" x14ac:dyDescent="0.25">
      <c r="A508" t="s">
        <v>1422</v>
      </c>
      <c r="B508">
        <v>737</v>
      </c>
      <c r="C508" t="s">
        <v>2138</v>
      </c>
      <c r="D508" t="s">
        <v>469</v>
      </c>
      <c r="E508">
        <v>900</v>
      </c>
      <c r="F508" t="s">
        <v>0</v>
      </c>
      <c r="G508" t="s">
        <v>1553</v>
      </c>
      <c r="H508" t="s">
        <v>1425</v>
      </c>
      <c r="I508" t="s">
        <v>1426</v>
      </c>
      <c r="J508" t="s">
        <v>1426</v>
      </c>
      <c r="O508">
        <v>769</v>
      </c>
      <c r="P508" t="str">
        <f t="shared" ref="P508:P570" si="41">IFERROR(VLOOKUP(O508,$M:$N,2,0), VLOOKUP(O508,$B:$D,3,0))</f>
        <v>MURAT GEÇME ŞOHBEN DEDANTÖRÜ</v>
      </c>
      <c r="Q508" s="1">
        <f t="shared" ref="Q508:Q570" si="42">VLOOKUP(O508,$B:$E,4,0)*2</f>
        <v>660</v>
      </c>
      <c r="R508" t="str">
        <f t="shared" ref="R508:R570" si="43">VLOOKUP(O508,$B:$F,5,0)</f>
        <v>TL</v>
      </c>
      <c r="S508" t="str">
        <f t="shared" ref="S508:S570" si="44">VLOOKUP(O508,$B:$G,6,0)</f>
        <v>TÜP</v>
      </c>
      <c r="T508" t="str">
        <f t="shared" si="40"/>
        <v>tup</v>
      </c>
    </row>
    <row r="509" spans="1:20" x14ac:dyDescent="0.25">
      <c r="A509" t="s">
        <v>1422</v>
      </c>
      <c r="B509">
        <v>738</v>
      </c>
      <c r="C509" t="s">
        <v>2137</v>
      </c>
      <c r="D509" t="s">
        <v>470</v>
      </c>
      <c r="E509">
        <v>1050</v>
      </c>
      <c r="F509" t="s">
        <v>0</v>
      </c>
      <c r="G509" t="s">
        <v>1553</v>
      </c>
      <c r="H509" t="s">
        <v>1425</v>
      </c>
      <c r="I509" t="s">
        <v>1426</v>
      </c>
      <c r="J509" t="s">
        <v>1426</v>
      </c>
      <c r="O509">
        <v>770</v>
      </c>
      <c r="P509" t="str">
        <f t="shared" si="41"/>
        <v>MURAT KAAN KİLİTLİ METAL DEDANTÖR 10 MM</v>
      </c>
      <c r="Q509" s="1">
        <f t="shared" si="42"/>
        <v>660</v>
      </c>
      <c r="R509" t="str">
        <f t="shared" si="43"/>
        <v>TL</v>
      </c>
      <c r="S509" t="str">
        <f t="shared" si="44"/>
        <v>TÜP</v>
      </c>
      <c r="T509" t="str">
        <f t="shared" si="40"/>
        <v>tup</v>
      </c>
    </row>
    <row r="510" spans="1:20" x14ac:dyDescent="0.25">
      <c r="A510" t="s">
        <v>1422</v>
      </c>
      <c r="B510">
        <v>739</v>
      </c>
      <c r="C510" t="s">
        <v>2136</v>
      </c>
      <c r="D510" t="s">
        <v>471</v>
      </c>
      <c r="E510">
        <v>1250</v>
      </c>
      <c r="F510" t="s">
        <v>0</v>
      </c>
      <c r="G510" t="s">
        <v>1553</v>
      </c>
      <c r="H510" t="s">
        <v>1425</v>
      </c>
      <c r="I510" t="s">
        <v>1426</v>
      </c>
      <c r="J510" t="s">
        <v>1426</v>
      </c>
      <c r="O510">
        <v>771</v>
      </c>
      <c r="P510" t="str">
        <f t="shared" si="41"/>
        <v>MURAT KAAN KİLİTLİ METAL DEDANTÖR 8MM</v>
      </c>
      <c r="Q510" s="1">
        <f t="shared" si="42"/>
        <v>660</v>
      </c>
      <c r="R510" t="str">
        <f t="shared" si="43"/>
        <v>TL</v>
      </c>
      <c r="S510" t="str">
        <f t="shared" si="44"/>
        <v>TÜP</v>
      </c>
      <c r="T510" t="str">
        <f t="shared" si="40"/>
        <v>tup</v>
      </c>
    </row>
    <row r="511" spans="1:20" x14ac:dyDescent="0.25">
      <c r="A511" t="s">
        <v>1422</v>
      </c>
      <c r="B511">
        <v>740</v>
      </c>
      <c r="C511" t="s">
        <v>2135</v>
      </c>
      <c r="D511" t="s">
        <v>472</v>
      </c>
      <c r="E511">
        <v>100</v>
      </c>
      <c r="F511" t="s">
        <v>0</v>
      </c>
      <c r="G511" t="s">
        <v>1553</v>
      </c>
      <c r="H511" t="s">
        <v>1425</v>
      </c>
      <c r="I511" t="s">
        <v>1426</v>
      </c>
      <c r="J511" t="s">
        <v>1426</v>
      </c>
      <c r="O511">
        <v>772</v>
      </c>
      <c r="P511" t="str">
        <f t="shared" si="41"/>
        <v>MURAT KOMBİ DEDANTÖR</v>
      </c>
      <c r="Q511" s="1">
        <f t="shared" si="42"/>
        <v>1200</v>
      </c>
      <c r="R511" t="str">
        <f t="shared" si="43"/>
        <v>TL</v>
      </c>
      <c r="S511" t="str">
        <f t="shared" si="44"/>
        <v>TÜP</v>
      </c>
      <c r="T511" t="str">
        <f t="shared" si="40"/>
        <v>tup</v>
      </c>
    </row>
    <row r="512" spans="1:20" x14ac:dyDescent="0.25">
      <c r="A512" t="s">
        <v>1422</v>
      </c>
      <c r="B512">
        <v>741</v>
      </c>
      <c r="C512" t="s">
        <v>2130</v>
      </c>
      <c r="D512" t="s">
        <v>473</v>
      </c>
      <c r="E512">
        <v>100</v>
      </c>
      <c r="F512" t="s">
        <v>0</v>
      </c>
      <c r="G512" t="s">
        <v>1553</v>
      </c>
      <c r="H512" t="s">
        <v>1425</v>
      </c>
      <c r="I512" t="s">
        <v>1426</v>
      </c>
      <c r="J512" t="s">
        <v>1426</v>
      </c>
      <c r="O512">
        <v>773</v>
      </c>
      <c r="P512" t="str">
        <f t="shared" si="41"/>
        <v>MURAT KOMBİ DEDANTÖRÜ 2 KG</v>
      </c>
      <c r="Q512" s="1">
        <f t="shared" si="42"/>
        <v>1200</v>
      </c>
      <c r="R512" t="str">
        <f t="shared" si="43"/>
        <v>TL</v>
      </c>
      <c r="S512" t="str">
        <f t="shared" si="44"/>
        <v>TÜP</v>
      </c>
      <c r="T512" t="str">
        <f t="shared" si="40"/>
        <v>tup</v>
      </c>
    </row>
    <row r="513" spans="1:20" x14ac:dyDescent="0.25">
      <c r="A513" t="s">
        <v>1422</v>
      </c>
      <c r="B513">
        <v>742</v>
      </c>
      <c r="C513" t="s">
        <v>2129</v>
      </c>
      <c r="D513" t="s">
        <v>474</v>
      </c>
      <c r="E513">
        <v>100</v>
      </c>
      <c r="F513" t="s">
        <v>0</v>
      </c>
      <c r="G513" t="s">
        <v>1553</v>
      </c>
      <c r="H513" t="s">
        <v>1425</v>
      </c>
      <c r="I513" t="s">
        <v>1426</v>
      </c>
      <c r="J513" t="s">
        <v>1426</v>
      </c>
      <c r="O513">
        <v>774</v>
      </c>
      <c r="P513" t="str">
        <f t="shared" si="41"/>
        <v>MURAT KOMBİ DEDANTÖRÜ 4 KG</v>
      </c>
      <c r="Q513" s="1">
        <f t="shared" si="42"/>
        <v>1200</v>
      </c>
      <c r="R513" t="str">
        <f t="shared" si="43"/>
        <v>TL</v>
      </c>
      <c r="S513" t="str">
        <f t="shared" si="44"/>
        <v>TÜP</v>
      </c>
      <c r="T513" t="str">
        <f t="shared" si="40"/>
        <v>tup</v>
      </c>
    </row>
    <row r="514" spans="1:20" x14ac:dyDescent="0.25">
      <c r="A514" t="s">
        <v>1422</v>
      </c>
      <c r="B514">
        <v>743</v>
      </c>
      <c r="C514" t="s">
        <v>2104</v>
      </c>
      <c r="D514" t="s">
        <v>475</v>
      </c>
      <c r="E514">
        <v>6.5</v>
      </c>
      <c r="F514" t="s">
        <v>0</v>
      </c>
      <c r="G514" t="s">
        <v>1553</v>
      </c>
      <c r="H514" t="s">
        <v>1425</v>
      </c>
      <c r="I514" t="s">
        <v>1426</v>
      </c>
      <c r="J514" t="s">
        <v>1426</v>
      </c>
      <c r="O514">
        <v>775</v>
      </c>
      <c r="P514" t="str">
        <f t="shared" si="41"/>
        <v>MURAT METAL 500'LÜK SİBOBLU DEDANTÖR</v>
      </c>
      <c r="Q514" s="1">
        <f t="shared" si="42"/>
        <v>660</v>
      </c>
      <c r="R514" t="str">
        <f t="shared" si="43"/>
        <v>TL</v>
      </c>
      <c r="S514" t="str">
        <f t="shared" si="44"/>
        <v>TÜP</v>
      </c>
      <c r="T514" t="str">
        <f t="shared" si="40"/>
        <v>tup</v>
      </c>
    </row>
    <row r="515" spans="1:20" x14ac:dyDescent="0.25">
      <c r="A515" t="s">
        <v>1422</v>
      </c>
      <c r="B515">
        <v>744</v>
      </c>
      <c r="C515" t="s">
        <v>2103</v>
      </c>
      <c r="D515" t="s">
        <v>476</v>
      </c>
      <c r="E515">
        <v>65</v>
      </c>
      <c r="F515" t="s">
        <v>0</v>
      </c>
      <c r="G515" t="s">
        <v>1553</v>
      </c>
      <c r="H515" t="s">
        <v>1425</v>
      </c>
      <c r="I515" t="s">
        <v>1426</v>
      </c>
      <c r="J515" t="s">
        <v>1426</v>
      </c>
      <c r="O515">
        <v>776</v>
      </c>
      <c r="P515" t="str">
        <f t="shared" si="41"/>
        <v xml:space="preserve">MURAT METAL DEDANTÖR </v>
      </c>
      <c r="Q515" s="1">
        <f t="shared" si="42"/>
        <v>660</v>
      </c>
      <c r="R515" t="str">
        <f t="shared" si="43"/>
        <v>TL</v>
      </c>
      <c r="S515" t="str">
        <f t="shared" si="44"/>
        <v>TÜP</v>
      </c>
      <c r="T515" t="str">
        <f t="shared" si="40"/>
        <v>tup</v>
      </c>
    </row>
    <row r="516" spans="1:20" x14ac:dyDescent="0.25">
      <c r="A516" t="s">
        <v>1422</v>
      </c>
      <c r="B516">
        <v>745</v>
      </c>
      <c r="C516" t="s">
        <v>2085</v>
      </c>
      <c r="D516" t="s">
        <v>477</v>
      </c>
      <c r="E516">
        <v>750</v>
      </c>
      <c r="F516" t="s">
        <v>0</v>
      </c>
      <c r="G516" t="s">
        <v>1553</v>
      </c>
      <c r="H516" t="s">
        <v>1425</v>
      </c>
      <c r="I516" t="s">
        <v>1426</v>
      </c>
      <c r="J516" t="s">
        <v>1426</v>
      </c>
      <c r="O516">
        <v>777</v>
      </c>
      <c r="P516" t="str">
        <f t="shared" si="41"/>
        <v xml:space="preserve">MURAT SAATLİ SANAYİ DEDANTÖR </v>
      </c>
      <c r="Q516" s="1">
        <f t="shared" si="42"/>
        <v>2600</v>
      </c>
      <c r="R516" t="str">
        <f t="shared" si="43"/>
        <v>TL</v>
      </c>
      <c r="S516" t="str">
        <f t="shared" si="44"/>
        <v>TÜP</v>
      </c>
      <c r="T516" t="str">
        <f t="shared" si="40"/>
        <v>tup</v>
      </c>
    </row>
    <row r="517" spans="1:20" x14ac:dyDescent="0.25">
      <c r="A517" t="s">
        <v>1422</v>
      </c>
      <c r="B517">
        <v>746</v>
      </c>
      <c r="C517" t="s">
        <v>2084</v>
      </c>
      <c r="D517" t="s">
        <v>478</v>
      </c>
      <c r="E517">
        <v>100</v>
      </c>
      <c r="F517" t="s">
        <v>0</v>
      </c>
      <c r="G517" t="s">
        <v>1553</v>
      </c>
      <c r="H517" t="s">
        <v>1425</v>
      </c>
      <c r="I517" t="s">
        <v>1426</v>
      </c>
      <c r="J517" t="s">
        <v>1426</v>
      </c>
      <c r="O517">
        <v>778</v>
      </c>
      <c r="P517" t="str">
        <f t="shared" si="41"/>
        <v>MURAT SARI SANAYİ DEDANTÖR</v>
      </c>
      <c r="Q517" s="1">
        <f t="shared" si="42"/>
        <v>1620</v>
      </c>
      <c r="R517" t="str">
        <f t="shared" si="43"/>
        <v>TL</v>
      </c>
      <c r="S517" t="str">
        <f t="shared" si="44"/>
        <v>TÜP</v>
      </c>
      <c r="T517" t="str">
        <f t="shared" si="40"/>
        <v>tup</v>
      </c>
    </row>
    <row r="518" spans="1:20" x14ac:dyDescent="0.25">
      <c r="A518" t="s">
        <v>1422</v>
      </c>
      <c r="B518">
        <v>747</v>
      </c>
      <c r="C518" t="s">
        <v>2081</v>
      </c>
      <c r="D518" t="s">
        <v>479</v>
      </c>
      <c r="E518">
        <v>550</v>
      </c>
      <c r="F518" t="s">
        <v>0</v>
      </c>
      <c r="G518" t="s">
        <v>1553</v>
      </c>
      <c r="H518" t="s">
        <v>1425</v>
      </c>
      <c r="I518" t="s">
        <v>1426</v>
      </c>
      <c r="J518" t="s">
        <v>1426</v>
      </c>
      <c r="O518">
        <v>779</v>
      </c>
      <c r="P518" t="str">
        <f t="shared" si="41"/>
        <v>MURAT UFAK SANAYİ DEDANTÖR</v>
      </c>
      <c r="Q518" s="1">
        <f t="shared" si="42"/>
        <v>660</v>
      </c>
      <c r="R518" t="str">
        <f t="shared" si="43"/>
        <v>TL</v>
      </c>
      <c r="S518" t="str">
        <f t="shared" si="44"/>
        <v>TÜP</v>
      </c>
      <c r="T518" t="str">
        <f t="shared" si="40"/>
        <v>tup</v>
      </c>
    </row>
    <row r="519" spans="1:20" x14ac:dyDescent="0.25">
      <c r="A519" t="s">
        <v>1422</v>
      </c>
      <c r="B519">
        <v>748</v>
      </c>
      <c r="C519" t="s">
        <v>2080</v>
      </c>
      <c r="D519" t="s">
        <v>480</v>
      </c>
      <c r="E519">
        <v>300</v>
      </c>
      <c r="F519" t="s">
        <v>0</v>
      </c>
      <c r="G519" t="s">
        <v>1553</v>
      </c>
      <c r="H519" t="s">
        <v>1425</v>
      </c>
      <c r="I519" t="s">
        <v>1426</v>
      </c>
      <c r="J519" t="s">
        <v>1426</v>
      </c>
      <c r="O519">
        <v>780</v>
      </c>
      <c r="P519" t="str">
        <f t="shared" si="41"/>
        <v>MURAT VANALI AYARLI DEDANTÖR</v>
      </c>
      <c r="Q519" s="1">
        <f t="shared" si="42"/>
        <v>660</v>
      </c>
      <c r="R519" t="str">
        <f t="shared" si="43"/>
        <v>TL</v>
      </c>
      <c r="S519" t="str">
        <f t="shared" si="44"/>
        <v>TÜP</v>
      </c>
      <c r="T519" t="str">
        <f t="shared" si="40"/>
        <v>tup</v>
      </c>
    </row>
    <row r="520" spans="1:20" x14ac:dyDescent="0.25">
      <c r="A520" t="s">
        <v>1422</v>
      </c>
      <c r="B520">
        <v>749</v>
      </c>
      <c r="C520" t="s">
        <v>2079</v>
      </c>
      <c r="D520" t="s">
        <v>481</v>
      </c>
      <c r="E520">
        <v>300</v>
      </c>
      <c r="F520" t="s">
        <v>0</v>
      </c>
      <c r="G520" t="s">
        <v>1553</v>
      </c>
      <c r="H520" t="s">
        <v>1425</v>
      </c>
      <c r="I520" t="s">
        <v>1426</v>
      </c>
      <c r="J520" t="s">
        <v>1426</v>
      </c>
      <c r="O520">
        <v>781</v>
      </c>
      <c r="P520" t="str">
        <f t="shared" si="41"/>
        <v>MURAT VANALI DEDANTÖR</v>
      </c>
      <c r="Q520" s="1">
        <f t="shared" si="42"/>
        <v>660</v>
      </c>
      <c r="R520" t="str">
        <f t="shared" si="43"/>
        <v>TL</v>
      </c>
      <c r="S520" t="str">
        <f t="shared" si="44"/>
        <v>TÜP</v>
      </c>
      <c r="T520" t="str">
        <f t="shared" si="40"/>
        <v>tup</v>
      </c>
    </row>
    <row r="521" spans="1:20" x14ac:dyDescent="0.25">
      <c r="A521" t="s">
        <v>1422</v>
      </c>
      <c r="B521">
        <v>750</v>
      </c>
      <c r="C521" t="s">
        <v>2078</v>
      </c>
      <c r="D521" t="s">
        <v>482</v>
      </c>
      <c r="E521">
        <v>300</v>
      </c>
      <c r="F521" t="s">
        <v>0</v>
      </c>
      <c r="G521" t="s">
        <v>1553</v>
      </c>
      <c r="H521" t="s">
        <v>1425</v>
      </c>
      <c r="I521" t="s">
        <v>1426</v>
      </c>
      <c r="J521" t="s">
        <v>1426</v>
      </c>
      <c r="O521">
        <v>782</v>
      </c>
      <c r="P521" t="str">
        <f t="shared" si="41"/>
        <v>MURAT VANALI ŞOFBEN DEDANTÖRÜ</v>
      </c>
      <c r="Q521" s="1">
        <f t="shared" si="42"/>
        <v>660</v>
      </c>
      <c r="R521" t="str">
        <f t="shared" si="43"/>
        <v>TL</v>
      </c>
      <c r="S521" t="str">
        <f t="shared" si="44"/>
        <v>TÜP</v>
      </c>
      <c r="T521" t="str">
        <f t="shared" si="40"/>
        <v>tup</v>
      </c>
    </row>
    <row r="522" spans="1:20" x14ac:dyDescent="0.25">
      <c r="A522" t="s">
        <v>1422</v>
      </c>
      <c r="B522">
        <v>751</v>
      </c>
      <c r="C522" t="s">
        <v>2077</v>
      </c>
      <c r="D522" t="s">
        <v>483</v>
      </c>
      <c r="E522">
        <v>300</v>
      </c>
      <c r="F522" t="s">
        <v>0</v>
      </c>
      <c r="G522" t="s">
        <v>1553</v>
      </c>
      <c r="H522" t="s">
        <v>1425</v>
      </c>
      <c r="I522" t="s">
        <v>1426</v>
      </c>
      <c r="J522" t="s">
        <v>1426</v>
      </c>
      <c r="O522">
        <v>783</v>
      </c>
      <c r="P522" t="str">
        <f t="shared" si="41"/>
        <v xml:space="preserve">NURGAZ 190 GR KARTUŞ </v>
      </c>
      <c r="Q522" s="1">
        <f t="shared" si="42"/>
        <v>280</v>
      </c>
      <c r="R522" t="str">
        <f t="shared" si="43"/>
        <v>TL</v>
      </c>
      <c r="S522" t="str">
        <f t="shared" si="44"/>
        <v>TÜP</v>
      </c>
      <c r="T522" t="str">
        <f t="shared" si="40"/>
        <v>tup</v>
      </c>
    </row>
    <row r="523" spans="1:20" x14ac:dyDescent="0.25">
      <c r="A523" t="s">
        <v>1422</v>
      </c>
      <c r="B523">
        <v>752</v>
      </c>
      <c r="C523" t="s">
        <v>2076</v>
      </c>
      <c r="D523" t="s">
        <v>484</v>
      </c>
      <c r="E523">
        <v>300</v>
      </c>
      <c r="F523" t="s">
        <v>0</v>
      </c>
      <c r="G523" t="s">
        <v>1553</v>
      </c>
      <c r="H523" t="s">
        <v>1425</v>
      </c>
      <c r="I523" t="s">
        <v>1426</v>
      </c>
      <c r="J523" t="s">
        <v>1426</v>
      </c>
      <c r="O523">
        <v>784</v>
      </c>
      <c r="P523" t="str">
        <f t="shared" si="41"/>
        <v xml:space="preserve">NURGAZ 190 GR LÜKS </v>
      </c>
      <c r="Q523" s="1">
        <f t="shared" si="42"/>
        <v>0</v>
      </c>
      <c r="R523" t="str">
        <f t="shared" si="43"/>
        <v>TL</v>
      </c>
      <c r="S523" t="str">
        <f t="shared" si="44"/>
        <v>TÜP</v>
      </c>
      <c r="T523" t="str">
        <f t="shared" si="40"/>
        <v>tup</v>
      </c>
    </row>
    <row r="524" spans="1:20" x14ac:dyDescent="0.25">
      <c r="A524" t="s">
        <v>1422</v>
      </c>
      <c r="B524">
        <v>753</v>
      </c>
      <c r="C524" t="s">
        <v>2074</v>
      </c>
      <c r="D524" t="s">
        <v>485</v>
      </c>
      <c r="E524">
        <v>6000</v>
      </c>
      <c r="F524" t="s">
        <v>0</v>
      </c>
      <c r="G524" t="s">
        <v>1606</v>
      </c>
      <c r="H524" t="s">
        <v>1425</v>
      </c>
      <c r="I524" t="s">
        <v>1426</v>
      </c>
      <c r="J524" t="s">
        <v>1426</v>
      </c>
      <c r="O524">
        <v>785</v>
      </c>
      <c r="P524" t="str">
        <f t="shared" si="41"/>
        <v xml:space="preserve">NURGAZ 220 GR UZUN KARTUŞ </v>
      </c>
      <c r="Q524" s="1">
        <f t="shared" si="42"/>
        <v>280</v>
      </c>
      <c r="R524" t="str">
        <f t="shared" si="43"/>
        <v>TL</v>
      </c>
      <c r="S524" t="str">
        <f t="shared" si="44"/>
        <v>TÜP</v>
      </c>
      <c r="T524" t="str">
        <f t="shared" si="40"/>
        <v>tup</v>
      </c>
    </row>
    <row r="525" spans="1:20" x14ac:dyDescent="0.25">
      <c r="A525" t="s">
        <v>1422</v>
      </c>
      <c r="B525">
        <v>754</v>
      </c>
      <c r="C525" t="s">
        <v>2073</v>
      </c>
      <c r="D525" t="s">
        <v>486</v>
      </c>
      <c r="E525">
        <v>6600</v>
      </c>
      <c r="F525" t="s">
        <v>0</v>
      </c>
      <c r="G525" t="s">
        <v>1606</v>
      </c>
      <c r="H525" t="s">
        <v>1425</v>
      </c>
      <c r="I525" t="s">
        <v>1426</v>
      </c>
      <c r="J525" t="s">
        <v>1426</v>
      </c>
      <c r="O525">
        <v>786</v>
      </c>
      <c r="P525" t="str">
        <f t="shared" si="41"/>
        <v>NURGAZ 230 GR VİDALI KARTUŞ</v>
      </c>
      <c r="Q525" s="1">
        <f t="shared" si="42"/>
        <v>420</v>
      </c>
      <c r="R525" t="str">
        <f t="shared" si="43"/>
        <v>TL</v>
      </c>
      <c r="S525" t="str">
        <f t="shared" si="44"/>
        <v>TÜP</v>
      </c>
      <c r="T525" t="str">
        <f t="shared" si="40"/>
        <v>tup</v>
      </c>
    </row>
    <row r="526" spans="1:20" x14ac:dyDescent="0.25">
      <c r="A526" t="s">
        <v>1422</v>
      </c>
      <c r="B526">
        <v>755</v>
      </c>
      <c r="C526" t="s">
        <v>2071</v>
      </c>
      <c r="D526" t="s">
        <v>487</v>
      </c>
      <c r="E526">
        <v>7000</v>
      </c>
      <c r="F526" t="s">
        <v>0</v>
      </c>
      <c r="G526" t="s">
        <v>1606</v>
      </c>
      <c r="H526" t="s">
        <v>1425</v>
      </c>
      <c r="I526" t="s">
        <v>1426</v>
      </c>
      <c r="J526" t="s">
        <v>1426</v>
      </c>
      <c r="O526">
        <v>787</v>
      </c>
      <c r="P526" t="str">
        <f t="shared" si="41"/>
        <v>NURGAZ 450 GR VİDALI KARTUŞ</v>
      </c>
      <c r="Q526" s="1">
        <f t="shared" si="42"/>
        <v>560</v>
      </c>
      <c r="R526" t="str">
        <f t="shared" si="43"/>
        <v>TL</v>
      </c>
      <c r="S526" t="str">
        <f t="shared" si="44"/>
        <v>TÜP</v>
      </c>
      <c r="T526" t="str">
        <f t="shared" si="40"/>
        <v>tup</v>
      </c>
    </row>
    <row r="527" spans="1:20" x14ac:dyDescent="0.25">
      <c r="A527" t="s">
        <v>1422</v>
      </c>
      <c r="B527">
        <v>756</v>
      </c>
      <c r="C527" t="s">
        <v>2070</v>
      </c>
      <c r="D527" t="s">
        <v>488</v>
      </c>
      <c r="E527">
        <v>7500</v>
      </c>
      <c r="F527" t="s">
        <v>0</v>
      </c>
      <c r="G527" t="s">
        <v>1606</v>
      </c>
      <c r="H527" t="s">
        <v>1425</v>
      </c>
      <c r="I527" t="s">
        <v>1426</v>
      </c>
      <c r="J527" t="s">
        <v>1426</v>
      </c>
      <c r="O527">
        <v>788</v>
      </c>
      <c r="P527" t="str">
        <f t="shared" si="41"/>
        <v>NURGAZ 500 GR KARTUŞ</v>
      </c>
      <c r="Q527" s="1">
        <f t="shared" si="42"/>
        <v>480</v>
      </c>
      <c r="R527" t="str">
        <f t="shared" si="43"/>
        <v>TL</v>
      </c>
      <c r="S527" t="str">
        <f t="shared" si="44"/>
        <v>TÜP</v>
      </c>
      <c r="T527" t="str">
        <f t="shared" si="40"/>
        <v>tup</v>
      </c>
    </row>
    <row r="528" spans="1:20" x14ac:dyDescent="0.25">
      <c r="A528" t="s">
        <v>1422</v>
      </c>
      <c r="B528">
        <v>757</v>
      </c>
      <c r="C528" t="s">
        <v>2063</v>
      </c>
      <c r="D528" t="s">
        <v>489</v>
      </c>
      <c r="E528">
        <v>3600</v>
      </c>
      <c r="F528" t="s">
        <v>0</v>
      </c>
      <c r="G528" t="s">
        <v>1606</v>
      </c>
      <c r="H528" t="s">
        <v>1425</v>
      </c>
      <c r="I528" t="s">
        <v>1426</v>
      </c>
      <c r="J528" t="s">
        <v>1426</v>
      </c>
      <c r="O528">
        <v>789</v>
      </c>
      <c r="P528" t="str">
        <f t="shared" si="41"/>
        <v>NURGAZ 500 GR LÜKS</v>
      </c>
      <c r="Q528" s="1">
        <f t="shared" si="42"/>
        <v>0</v>
      </c>
      <c r="R528" t="str">
        <f t="shared" si="43"/>
        <v>TL</v>
      </c>
      <c r="S528" t="str">
        <f t="shared" si="44"/>
        <v>TÜP</v>
      </c>
      <c r="T528" t="str">
        <f t="shared" si="40"/>
        <v>tup</v>
      </c>
    </row>
    <row r="529" spans="1:20" x14ac:dyDescent="0.25">
      <c r="A529" t="s">
        <v>1422</v>
      </c>
      <c r="B529">
        <v>758</v>
      </c>
      <c r="C529" t="s">
        <v>2062</v>
      </c>
      <c r="D529" t="s">
        <v>490</v>
      </c>
      <c r="E529">
        <v>150</v>
      </c>
      <c r="F529" t="s">
        <v>0</v>
      </c>
      <c r="G529" t="s">
        <v>1553</v>
      </c>
      <c r="H529" t="s">
        <v>1425</v>
      </c>
      <c r="I529" t="s">
        <v>1426</v>
      </c>
      <c r="J529" t="s">
        <v>1426</v>
      </c>
      <c r="O529">
        <v>790</v>
      </c>
      <c r="P529" t="str">
        <f t="shared" si="41"/>
        <v>NURGAZ 500 GR OCAK</v>
      </c>
      <c r="Q529" s="1">
        <f t="shared" si="42"/>
        <v>0</v>
      </c>
      <c r="R529" t="str">
        <f t="shared" si="43"/>
        <v>TL</v>
      </c>
      <c r="S529" t="str">
        <f t="shared" si="44"/>
        <v>TÜP</v>
      </c>
      <c r="T529" t="str">
        <f t="shared" si="40"/>
        <v>tup</v>
      </c>
    </row>
    <row r="530" spans="1:20" x14ac:dyDescent="0.25">
      <c r="A530" t="s">
        <v>1422</v>
      </c>
      <c r="B530">
        <v>759</v>
      </c>
      <c r="C530" t="s">
        <v>2061</v>
      </c>
      <c r="D530" t="s">
        <v>491</v>
      </c>
      <c r="E530">
        <v>25</v>
      </c>
      <c r="F530" t="s">
        <v>0</v>
      </c>
      <c r="G530" t="s">
        <v>1553</v>
      </c>
      <c r="H530" t="s">
        <v>1425</v>
      </c>
      <c r="I530" t="s">
        <v>1426</v>
      </c>
      <c r="J530" t="s">
        <v>1426</v>
      </c>
      <c r="O530">
        <v>791</v>
      </c>
      <c r="P530" t="str">
        <f t="shared" si="41"/>
        <v>NURGAZ ÇANTALI PORTATİF OCAK</v>
      </c>
      <c r="Q530" s="1">
        <f t="shared" si="42"/>
        <v>2800</v>
      </c>
      <c r="R530" t="str">
        <f t="shared" si="43"/>
        <v>TL</v>
      </c>
      <c r="S530" t="str">
        <f t="shared" si="44"/>
        <v>TÜP</v>
      </c>
      <c r="T530" t="str">
        <f t="shared" si="40"/>
        <v>tup</v>
      </c>
    </row>
    <row r="531" spans="1:20" x14ac:dyDescent="0.25">
      <c r="A531" t="s">
        <v>1422</v>
      </c>
      <c r="B531">
        <v>760</v>
      </c>
      <c r="C531" t="s">
        <v>2060</v>
      </c>
      <c r="D531" t="s">
        <v>492</v>
      </c>
      <c r="E531">
        <v>17.5</v>
      </c>
      <c r="F531" t="s">
        <v>0</v>
      </c>
      <c r="G531" t="s">
        <v>1553</v>
      </c>
      <c r="H531" t="s">
        <v>1425</v>
      </c>
      <c r="I531" t="s">
        <v>1426</v>
      </c>
      <c r="J531" t="s">
        <v>1426</v>
      </c>
      <c r="O531">
        <v>792</v>
      </c>
      <c r="P531" t="str">
        <f t="shared" si="41"/>
        <v>NURGAZ ÇOK AMAÇLI AYGAZ</v>
      </c>
      <c r="Q531" s="1">
        <f t="shared" si="42"/>
        <v>1800</v>
      </c>
      <c r="R531" t="str">
        <f t="shared" si="43"/>
        <v>TL</v>
      </c>
      <c r="S531" t="str">
        <f t="shared" si="44"/>
        <v>TÜP</v>
      </c>
      <c r="T531" t="str">
        <f t="shared" si="40"/>
        <v>tup</v>
      </c>
    </row>
    <row r="532" spans="1:20" x14ac:dyDescent="0.25">
      <c r="A532" t="s">
        <v>1422</v>
      </c>
      <c r="B532">
        <v>761</v>
      </c>
      <c r="C532" t="s">
        <v>2059</v>
      </c>
      <c r="D532" t="s">
        <v>493</v>
      </c>
      <c r="E532">
        <v>10</v>
      </c>
      <c r="F532" t="s">
        <v>0</v>
      </c>
      <c r="G532" t="s">
        <v>1553</v>
      </c>
      <c r="H532" t="s">
        <v>1425</v>
      </c>
      <c r="I532" t="s">
        <v>1426</v>
      </c>
      <c r="J532" t="s">
        <v>1426</v>
      </c>
      <c r="O532">
        <v>793</v>
      </c>
      <c r="P532" t="str">
        <f t="shared" si="41"/>
        <v>NURGAZ ÇOK AMAÇLI İPRA</v>
      </c>
      <c r="Q532" s="1">
        <f t="shared" si="42"/>
        <v>1800</v>
      </c>
      <c r="R532" t="str">
        <f t="shared" si="43"/>
        <v>TL</v>
      </c>
      <c r="S532" t="str">
        <f t="shared" si="44"/>
        <v>TÜP</v>
      </c>
      <c r="T532" t="str">
        <f t="shared" si="40"/>
        <v>tup</v>
      </c>
    </row>
    <row r="533" spans="1:20" x14ac:dyDescent="0.25">
      <c r="A533" t="s">
        <v>1422</v>
      </c>
      <c r="B533">
        <v>762</v>
      </c>
      <c r="C533" t="s">
        <v>1994</v>
      </c>
      <c r="D533" t="s">
        <v>494</v>
      </c>
      <c r="E533">
        <v>185</v>
      </c>
      <c r="F533" t="s">
        <v>0</v>
      </c>
      <c r="G533" t="s">
        <v>1553</v>
      </c>
      <c r="H533" t="s">
        <v>1425</v>
      </c>
      <c r="I533" t="s">
        <v>1426</v>
      </c>
      <c r="J533" t="s">
        <v>1426</v>
      </c>
      <c r="O533">
        <v>794</v>
      </c>
      <c r="P533" t="str">
        <f t="shared" si="41"/>
        <v>NURGAZ SİYAH BOYALI KAMP OCAK AYGAZ</v>
      </c>
      <c r="Q533" s="1">
        <f t="shared" si="42"/>
        <v>350</v>
      </c>
      <c r="R533" t="str">
        <f t="shared" si="43"/>
        <v>TL</v>
      </c>
      <c r="S533" t="str">
        <f t="shared" si="44"/>
        <v>TÜP</v>
      </c>
      <c r="T533" t="str">
        <f t="shared" si="40"/>
        <v>tup</v>
      </c>
    </row>
    <row r="534" spans="1:20" x14ac:dyDescent="0.25">
      <c r="A534" t="s">
        <v>1422</v>
      </c>
      <c r="B534">
        <v>763</v>
      </c>
      <c r="C534" t="s">
        <v>1992</v>
      </c>
      <c r="D534" t="s">
        <v>495</v>
      </c>
      <c r="E534">
        <v>200</v>
      </c>
      <c r="F534" t="s">
        <v>0</v>
      </c>
      <c r="G534" t="s">
        <v>1553</v>
      </c>
      <c r="H534" t="s">
        <v>1425</v>
      </c>
      <c r="I534" t="s">
        <v>1426</v>
      </c>
      <c r="J534" t="s">
        <v>1426</v>
      </c>
      <c r="O534">
        <v>795</v>
      </c>
      <c r="P534" t="str">
        <f t="shared" si="41"/>
        <v>NURGAZ SİYAH BOYALI KAMP OCAK İPRA</v>
      </c>
      <c r="Q534" s="1">
        <f t="shared" si="42"/>
        <v>370</v>
      </c>
      <c r="R534" t="str">
        <f t="shared" si="43"/>
        <v>TL</v>
      </c>
      <c r="S534" t="str">
        <f t="shared" si="44"/>
        <v>TÜP</v>
      </c>
      <c r="T534" t="str">
        <f t="shared" si="40"/>
        <v>tup</v>
      </c>
    </row>
    <row r="535" spans="1:20" x14ac:dyDescent="0.25">
      <c r="A535" t="s">
        <v>1422</v>
      </c>
      <c r="B535">
        <v>764</v>
      </c>
      <c r="C535" t="s">
        <v>1991</v>
      </c>
      <c r="D535" t="s">
        <v>496</v>
      </c>
      <c r="E535">
        <v>185</v>
      </c>
      <c r="F535" t="s">
        <v>0</v>
      </c>
      <c r="G535" t="s">
        <v>1553</v>
      </c>
      <c r="H535" t="s">
        <v>1425</v>
      </c>
      <c r="I535" t="s">
        <v>1426</v>
      </c>
      <c r="J535" t="s">
        <v>1426</v>
      </c>
      <c r="O535">
        <v>796</v>
      </c>
      <c r="P535" t="str">
        <f t="shared" si="41"/>
        <v xml:space="preserve">NURGAZ GÜNEŞ 2 SOBA </v>
      </c>
      <c r="Q535" s="1">
        <f t="shared" si="42"/>
        <v>2200</v>
      </c>
      <c r="R535" t="str">
        <f t="shared" si="43"/>
        <v>TL</v>
      </c>
      <c r="S535" t="str">
        <f t="shared" si="44"/>
        <v>TÜP</v>
      </c>
      <c r="T535" t="str">
        <f t="shared" si="40"/>
        <v>tup</v>
      </c>
    </row>
    <row r="536" spans="1:20" x14ac:dyDescent="0.25">
      <c r="A536" t="s">
        <v>1422</v>
      </c>
      <c r="B536">
        <v>765</v>
      </c>
      <c r="C536" t="s">
        <v>1990</v>
      </c>
      <c r="D536" t="s">
        <v>497</v>
      </c>
      <c r="E536">
        <v>195</v>
      </c>
      <c r="F536" t="s">
        <v>0</v>
      </c>
      <c r="G536" t="s">
        <v>1553</v>
      </c>
      <c r="H536" t="s">
        <v>1425</v>
      </c>
      <c r="I536" t="s">
        <v>1426</v>
      </c>
      <c r="J536" t="s">
        <v>1426</v>
      </c>
      <c r="O536">
        <v>798</v>
      </c>
      <c r="P536" t="str">
        <f t="shared" si="41"/>
        <v xml:space="preserve">NURGAZ KAMP OCAK AYGAZ </v>
      </c>
      <c r="Q536" s="1">
        <f t="shared" si="42"/>
        <v>370</v>
      </c>
      <c r="R536" t="str">
        <f t="shared" si="43"/>
        <v>TL</v>
      </c>
      <c r="S536" t="str">
        <f t="shared" si="44"/>
        <v>TÜP</v>
      </c>
      <c r="T536" t="str">
        <f t="shared" si="40"/>
        <v>tup</v>
      </c>
    </row>
    <row r="537" spans="1:20" x14ac:dyDescent="0.25">
      <c r="A537" t="s">
        <v>1422</v>
      </c>
      <c r="B537">
        <v>766</v>
      </c>
      <c r="C537" t="s">
        <v>1989</v>
      </c>
      <c r="D537" t="s">
        <v>498</v>
      </c>
      <c r="E537">
        <v>65</v>
      </c>
      <c r="F537" t="s">
        <v>0</v>
      </c>
      <c r="G537" t="s">
        <v>1553</v>
      </c>
      <c r="H537" t="s">
        <v>1425</v>
      </c>
      <c r="I537" t="s">
        <v>1426</v>
      </c>
      <c r="J537" t="s">
        <v>1426</v>
      </c>
      <c r="O537">
        <v>799</v>
      </c>
      <c r="P537" t="str">
        <f t="shared" si="41"/>
        <v xml:space="preserve">NURGAZ KAMP OCAK İPRA </v>
      </c>
      <c r="Q537" s="1">
        <f t="shared" si="42"/>
        <v>390</v>
      </c>
      <c r="R537" t="str">
        <f t="shared" si="43"/>
        <v>TL</v>
      </c>
      <c r="S537" t="str">
        <f t="shared" si="44"/>
        <v>TÜP</v>
      </c>
      <c r="T537" t="str">
        <f t="shared" si="40"/>
        <v>tup</v>
      </c>
    </row>
    <row r="538" spans="1:20" x14ac:dyDescent="0.25">
      <c r="A538" t="s">
        <v>1422</v>
      </c>
      <c r="B538">
        <v>767</v>
      </c>
      <c r="C538" t="s">
        <v>1966</v>
      </c>
      <c r="D538" t="s">
        <v>499</v>
      </c>
      <c r="E538">
        <v>330</v>
      </c>
      <c r="F538" t="s">
        <v>0</v>
      </c>
      <c r="G538" t="s">
        <v>1553</v>
      </c>
      <c r="H538" t="s">
        <v>1425</v>
      </c>
      <c r="I538" t="s">
        <v>1426</v>
      </c>
      <c r="J538" t="s">
        <v>1426</v>
      </c>
      <c r="O538">
        <v>800</v>
      </c>
      <c r="P538" t="str">
        <f t="shared" si="41"/>
        <v>NURGAZ KÜÇÜK LÜKS AYGAZ</v>
      </c>
      <c r="Q538" s="1">
        <f t="shared" si="42"/>
        <v>600</v>
      </c>
      <c r="R538" t="str">
        <f t="shared" si="43"/>
        <v>TL</v>
      </c>
      <c r="S538" t="str">
        <f t="shared" si="44"/>
        <v>TÜP</v>
      </c>
      <c r="T538" t="str">
        <f t="shared" si="40"/>
        <v>tup</v>
      </c>
    </row>
    <row r="539" spans="1:20" x14ac:dyDescent="0.25">
      <c r="A539" t="s">
        <v>1422</v>
      </c>
      <c r="B539">
        <v>768</v>
      </c>
      <c r="C539" t="s">
        <v>1965</v>
      </c>
      <c r="D539" t="s">
        <v>500</v>
      </c>
      <c r="E539">
        <v>650</v>
      </c>
      <c r="F539" t="s">
        <v>0</v>
      </c>
      <c r="G539" t="s">
        <v>1553</v>
      </c>
      <c r="H539" t="s">
        <v>1425</v>
      </c>
      <c r="I539" t="s">
        <v>1426</v>
      </c>
      <c r="J539" t="s">
        <v>1426</v>
      </c>
      <c r="O539">
        <v>801</v>
      </c>
      <c r="P539" t="str">
        <f t="shared" si="41"/>
        <v xml:space="preserve">NURGAZ KÜÇÜK TURBO KAMP OCAK AYGAZ </v>
      </c>
      <c r="Q539" s="1">
        <f t="shared" si="42"/>
        <v>410</v>
      </c>
      <c r="R539" t="str">
        <f t="shared" si="43"/>
        <v>TL</v>
      </c>
      <c r="S539" t="str">
        <f t="shared" si="44"/>
        <v>TÜP</v>
      </c>
      <c r="T539" t="str">
        <f t="shared" si="40"/>
        <v>tup</v>
      </c>
    </row>
    <row r="540" spans="1:20" x14ac:dyDescent="0.25">
      <c r="A540" t="s">
        <v>1422</v>
      </c>
      <c r="B540">
        <v>769</v>
      </c>
      <c r="C540" t="s">
        <v>1964</v>
      </c>
      <c r="D540" t="s">
        <v>501</v>
      </c>
      <c r="E540">
        <v>330</v>
      </c>
      <c r="F540" t="s">
        <v>0</v>
      </c>
      <c r="G540" t="s">
        <v>1553</v>
      </c>
      <c r="H540" t="s">
        <v>1425</v>
      </c>
      <c r="I540" t="s">
        <v>1426</v>
      </c>
      <c r="J540" t="s">
        <v>1426</v>
      </c>
      <c r="O540">
        <v>802</v>
      </c>
      <c r="P540" t="str">
        <f t="shared" si="41"/>
        <v>NURGAZ KÜÇÜK TURBO KAMP OCAK İPRA</v>
      </c>
      <c r="Q540" s="1">
        <f t="shared" si="42"/>
        <v>430</v>
      </c>
      <c r="R540" t="str">
        <f t="shared" si="43"/>
        <v>TL</v>
      </c>
      <c r="S540" t="str">
        <f t="shared" si="44"/>
        <v>TÜP</v>
      </c>
      <c r="T540" t="str">
        <f t="shared" si="40"/>
        <v>tup</v>
      </c>
    </row>
    <row r="541" spans="1:20" x14ac:dyDescent="0.25">
      <c r="A541" t="s">
        <v>1422</v>
      </c>
      <c r="B541">
        <v>770</v>
      </c>
      <c r="C541" t="s">
        <v>1963</v>
      </c>
      <c r="D541" t="s">
        <v>502</v>
      </c>
      <c r="E541">
        <v>330</v>
      </c>
      <c r="F541" t="s">
        <v>0</v>
      </c>
      <c r="G541" t="s">
        <v>1553</v>
      </c>
      <c r="H541" t="s">
        <v>1425</v>
      </c>
      <c r="I541" t="s">
        <v>1426</v>
      </c>
      <c r="J541" t="s">
        <v>1426</v>
      </c>
      <c r="O541">
        <v>803</v>
      </c>
      <c r="P541" t="str">
        <f t="shared" si="41"/>
        <v>NURGAZ LÜKS AYGAZ</v>
      </c>
      <c r="Q541" s="1">
        <f t="shared" si="42"/>
        <v>800</v>
      </c>
      <c r="R541" t="str">
        <f t="shared" si="43"/>
        <v>TL</v>
      </c>
      <c r="S541" t="str">
        <f t="shared" si="44"/>
        <v>TÜP</v>
      </c>
      <c r="T541" t="str">
        <f t="shared" si="40"/>
        <v>tup</v>
      </c>
    </row>
    <row r="542" spans="1:20" x14ac:dyDescent="0.25">
      <c r="A542" t="s">
        <v>1422</v>
      </c>
      <c r="B542">
        <v>771</v>
      </c>
      <c r="C542" t="s">
        <v>1962</v>
      </c>
      <c r="D542" t="s">
        <v>503</v>
      </c>
      <c r="E542">
        <v>330</v>
      </c>
      <c r="F542" t="s">
        <v>0</v>
      </c>
      <c r="G542" t="s">
        <v>1553</v>
      </c>
      <c r="H542" t="s">
        <v>1425</v>
      </c>
      <c r="I542" t="s">
        <v>1426</v>
      </c>
      <c r="J542" t="s">
        <v>1426</v>
      </c>
      <c r="O542">
        <v>804</v>
      </c>
      <c r="P542" t="str">
        <f t="shared" si="41"/>
        <v>NURGAZ LÜKS İPRA</v>
      </c>
      <c r="Q542" s="1">
        <f t="shared" si="42"/>
        <v>800</v>
      </c>
      <c r="R542" t="str">
        <f t="shared" si="43"/>
        <v>TL</v>
      </c>
      <c r="S542" t="str">
        <f t="shared" si="44"/>
        <v>TÜP</v>
      </c>
      <c r="T542" t="str">
        <f t="shared" si="40"/>
        <v>tup</v>
      </c>
    </row>
    <row r="543" spans="1:20" x14ac:dyDescent="0.25">
      <c r="A543" t="s">
        <v>1422</v>
      </c>
      <c r="B543">
        <v>772</v>
      </c>
      <c r="C543" t="s">
        <v>1961</v>
      </c>
      <c r="D543" t="s">
        <v>504</v>
      </c>
      <c r="E543">
        <v>600</v>
      </c>
      <c r="F543" t="s">
        <v>0</v>
      </c>
      <c r="G543" t="s">
        <v>1553</v>
      </c>
      <c r="H543" t="s">
        <v>1425</v>
      </c>
      <c r="I543" t="s">
        <v>1426</v>
      </c>
      <c r="J543" t="s">
        <v>1426</v>
      </c>
      <c r="O543">
        <v>806</v>
      </c>
      <c r="P543" t="str">
        <f t="shared" si="41"/>
        <v>NURGAZ NARGİLE OCAĞI</v>
      </c>
      <c r="Q543" s="1">
        <f t="shared" si="42"/>
        <v>0</v>
      </c>
      <c r="R543" t="str">
        <f t="shared" si="43"/>
        <v>TL</v>
      </c>
      <c r="S543" t="str">
        <f t="shared" si="44"/>
        <v>TÜP</v>
      </c>
      <c r="T543" t="str">
        <f t="shared" si="40"/>
        <v>tup</v>
      </c>
    </row>
    <row r="544" spans="1:20" x14ac:dyDescent="0.25">
      <c r="A544" t="s">
        <v>1422</v>
      </c>
      <c r="B544">
        <v>773</v>
      </c>
      <c r="C544" t="s">
        <v>1960</v>
      </c>
      <c r="D544" t="s">
        <v>505</v>
      </c>
      <c r="E544">
        <v>600</v>
      </c>
      <c r="F544" t="s">
        <v>0</v>
      </c>
      <c r="G544" t="s">
        <v>1553</v>
      </c>
      <c r="H544" t="s">
        <v>1425</v>
      </c>
      <c r="I544" t="s">
        <v>1426</v>
      </c>
      <c r="J544" t="s">
        <v>1426</v>
      </c>
      <c r="O544">
        <v>807</v>
      </c>
      <c r="P544" t="str">
        <f t="shared" si="41"/>
        <v>NURGAZ NG-0060 ŞALOMA</v>
      </c>
      <c r="Q544" s="1">
        <f t="shared" si="42"/>
        <v>1000</v>
      </c>
      <c r="R544" t="str">
        <f t="shared" si="43"/>
        <v>TL</v>
      </c>
      <c r="S544" t="str">
        <f t="shared" si="44"/>
        <v>TÜP</v>
      </c>
      <c r="T544" t="str">
        <f t="shared" si="40"/>
        <v>tup</v>
      </c>
    </row>
    <row r="545" spans="1:20" x14ac:dyDescent="0.25">
      <c r="A545" t="s">
        <v>1422</v>
      </c>
      <c r="B545">
        <v>774</v>
      </c>
      <c r="C545" t="s">
        <v>1959</v>
      </c>
      <c r="D545" t="s">
        <v>506</v>
      </c>
      <c r="E545">
        <v>600</v>
      </c>
      <c r="F545" t="s">
        <v>0</v>
      </c>
      <c r="G545" t="s">
        <v>1553</v>
      </c>
      <c r="H545" t="s">
        <v>1425</v>
      </c>
      <c r="I545" t="s">
        <v>1426</v>
      </c>
      <c r="J545" t="s">
        <v>1426</v>
      </c>
      <c r="O545">
        <v>808</v>
      </c>
      <c r="P545" t="str">
        <f t="shared" si="41"/>
        <v>NURGAZ NG-0150 ŞALOMA</v>
      </c>
      <c r="Q545" s="1">
        <f t="shared" si="42"/>
        <v>1000</v>
      </c>
      <c r="R545" t="str">
        <f t="shared" si="43"/>
        <v>TL</v>
      </c>
      <c r="S545" t="str">
        <f t="shared" si="44"/>
        <v>TÜP</v>
      </c>
      <c r="T545" t="str">
        <f t="shared" si="40"/>
        <v>tup</v>
      </c>
    </row>
    <row r="546" spans="1:20" x14ac:dyDescent="0.25">
      <c r="A546" t="s">
        <v>1422</v>
      </c>
      <c r="B546">
        <v>775</v>
      </c>
      <c r="C546" t="s">
        <v>1958</v>
      </c>
      <c r="D546" t="s">
        <v>507</v>
      </c>
      <c r="E546">
        <v>330</v>
      </c>
      <c r="F546" t="s">
        <v>0</v>
      </c>
      <c r="G546" t="s">
        <v>1553</v>
      </c>
      <c r="H546" t="s">
        <v>1425</v>
      </c>
      <c r="I546" t="s">
        <v>1426</v>
      </c>
      <c r="J546" t="s">
        <v>1426</v>
      </c>
      <c r="O546">
        <v>809</v>
      </c>
      <c r="P546" t="str">
        <f t="shared" si="41"/>
        <v xml:space="preserve">NURGAZ NG-0250 KUYUMCU ŞALOMA </v>
      </c>
      <c r="Q546" s="1">
        <f t="shared" si="42"/>
        <v>1000</v>
      </c>
      <c r="R546" t="str">
        <f t="shared" si="43"/>
        <v>TL</v>
      </c>
      <c r="S546" t="str">
        <f t="shared" si="44"/>
        <v>TÜP</v>
      </c>
      <c r="T546" t="str">
        <f t="shared" si="40"/>
        <v>tup</v>
      </c>
    </row>
    <row r="547" spans="1:20" x14ac:dyDescent="0.25">
      <c r="A547" t="s">
        <v>1422</v>
      </c>
      <c r="B547">
        <v>776</v>
      </c>
      <c r="C547" t="s">
        <v>1957</v>
      </c>
      <c r="D547" t="s">
        <v>508</v>
      </c>
      <c r="E547">
        <v>330</v>
      </c>
      <c r="F547" t="s">
        <v>0</v>
      </c>
      <c r="G547" t="s">
        <v>1553</v>
      </c>
      <c r="H547" t="s">
        <v>1425</v>
      </c>
      <c r="I547" t="s">
        <v>1426</v>
      </c>
      <c r="J547" t="s">
        <v>1426</v>
      </c>
      <c r="O547">
        <v>810</v>
      </c>
      <c r="P547" t="str">
        <f t="shared" si="41"/>
        <v>NURGAZ NG-0350 ŞALOMA</v>
      </c>
      <c r="Q547" s="1">
        <f t="shared" si="42"/>
        <v>1000</v>
      </c>
      <c r="R547" t="str">
        <f t="shared" si="43"/>
        <v>TL</v>
      </c>
      <c r="S547" t="str">
        <f t="shared" si="44"/>
        <v>TÜP</v>
      </c>
      <c r="T547" t="str">
        <f t="shared" si="40"/>
        <v>tup</v>
      </c>
    </row>
    <row r="548" spans="1:20" x14ac:dyDescent="0.25">
      <c r="A548" t="s">
        <v>1422</v>
      </c>
      <c r="B548">
        <v>777</v>
      </c>
      <c r="C548" t="s">
        <v>1956</v>
      </c>
      <c r="D548" t="s">
        <v>509</v>
      </c>
      <c r="E548">
        <v>1300</v>
      </c>
      <c r="F548" t="s">
        <v>0</v>
      </c>
      <c r="G548" t="s">
        <v>1553</v>
      </c>
      <c r="H548" t="s">
        <v>1425</v>
      </c>
      <c r="I548" t="s">
        <v>1426</v>
      </c>
      <c r="J548" t="s">
        <v>1426</v>
      </c>
      <c r="O548">
        <v>811</v>
      </c>
      <c r="P548" t="str">
        <f t="shared" si="41"/>
        <v>NURGAZ NG-0500 ŞALOMA</v>
      </c>
      <c r="Q548" s="1">
        <f t="shared" si="42"/>
        <v>1050</v>
      </c>
      <c r="R548" t="str">
        <f t="shared" si="43"/>
        <v>TL</v>
      </c>
      <c r="S548" t="str">
        <f t="shared" si="44"/>
        <v>TÜP</v>
      </c>
      <c r="T548" t="str">
        <f t="shared" si="40"/>
        <v>tup</v>
      </c>
    </row>
    <row r="549" spans="1:20" x14ac:dyDescent="0.25">
      <c r="A549" t="s">
        <v>1422</v>
      </c>
      <c r="B549">
        <v>778</v>
      </c>
      <c r="C549" t="s">
        <v>1955</v>
      </c>
      <c r="D549" t="s">
        <v>510</v>
      </c>
      <c r="E549">
        <v>810</v>
      </c>
      <c r="F549" t="s">
        <v>0</v>
      </c>
      <c r="G549" t="s">
        <v>1553</v>
      </c>
      <c r="H549" t="s">
        <v>1425</v>
      </c>
      <c r="I549" t="s">
        <v>1426</v>
      </c>
      <c r="J549" t="s">
        <v>1426</v>
      </c>
      <c r="O549">
        <v>812</v>
      </c>
      <c r="P549" t="str">
        <f t="shared" si="41"/>
        <v>NURGAZ NG-0550 ŞALOMA</v>
      </c>
      <c r="Q549" s="1">
        <f t="shared" si="42"/>
        <v>1100</v>
      </c>
      <c r="R549" t="str">
        <f t="shared" si="43"/>
        <v>TL</v>
      </c>
      <c r="S549" t="str">
        <f t="shared" si="44"/>
        <v>TÜP</v>
      </c>
      <c r="T549" t="str">
        <f t="shared" si="40"/>
        <v>tup</v>
      </c>
    </row>
    <row r="550" spans="1:20" x14ac:dyDescent="0.25">
      <c r="A550" t="s">
        <v>1422</v>
      </c>
      <c r="B550">
        <v>779</v>
      </c>
      <c r="C550" t="s">
        <v>1954</v>
      </c>
      <c r="D550" t="s">
        <v>511</v>
      </c>
      <c r="E550">
        <v>330</v>
      </c>
      <c r="F550" t="s">
        <v>0</v>
      </c>
      <c r="G550" t="s">
        <v>1553</v>
      </c>
      <c r="H550" t="s">
        <v>1425</v>
      </c>
      <c r="I550" t="s">
        <v>1426</v>
      </c>
      <c r="J550" t="s">
        <v>1426</v>
      </c>
      <c r="O550">
        <v>813</v>
      </c>
      <c r="P550" t="str">
        <f t="shared" si="41"/>
        <v>NURGAZ NG-0600 ŞALOMA</v>
      </c>
      <c r="Q550" s="1">
        <f t="shared" si="42"/>
        <v>1200</v>
      </c>
      <c r="R550" t="str">
        <f t="shared" si="43"/>
        <v>TL</v>
      </c>
      <c r="S550" t="str">
        <f t="shared" si="44"/>
        <v>TÜP</v>
      </c>
      <c r="T550" t="str">
        <f t="shared" si="40"/>
        <v>tup</v>
      </c>
    </row>
    <row r="551" spans="1:20" x14ac:dyDescent="0.25">
      <c r="A551" t="s">
        <v>1422</v>
      </c>
      <c r="B551">
        <v>780</v>
      </c>
      <c r="C551" t="s">
        <v>1953</v>
      </c>
      <c r="D551" t="s">
        <v>512</v>
      </c>
      <c r="E551">
        <v>330</v>
      </c>
      <c r="F551" t="s">
        <v>0</v>
      </c>
      <c r="G551" t="s">
        <v>1553</v>
      </c>
      <c r="H551" t="s">
        <v>1425</v>
      </c>
      <c r="I551" t="s">
        <v>1426</v>
      </c>
      <c r="J551" t="s">
        <v>1426</v>
      </c>
      <c r="O551">
        <v>814</v>
      </c>
      <c r="P551" t="str">
        <f t="shared" si="41"/>
        <v>NURGAZ NG-0650 ŞALOMA</v>
      </c>
      <c r="Q551" s="1">
        <f t="shared" si="42"/>
        <v>1300</v>
      </c>
      <c r="R551" t="str">
        <f t="shared" si="43"/>
        <v>TL</v>
      </c>
      <c r="S551" t="str">
        <f t="shared" si="44"/>
        <v>TÜP</v>
      </c>
      <c r="T551" t="str">
        <f t="shared" si="40"/>
        <v>tup</v>
      </c>
    </row>
    <row r="552" spans="1:20" x14ac:dyDescent="0.25">
      <c r="A552" t="s">
        <v>1422</v>
      </c>
      <c r="B552">
        <v>781</v>
      </c>
      <c r="C552" t="s">
        <v>1952</v>
      </c>
      <c r="D552" t="s">
        <v>513</v>
      </c>
      <c r="E552">
        <v>330</v>
      </c>
      <c r="F552" t="s">
        <v>0</v>
      </c>
      <c r="G552" t="s">
        <v>1553</v>
      </c>
      <c r="H552" t="s">
        <v>1425</v>
      </c>
      <c r="I552" t="s">
        <v>1426</v>
      </c>
      <c r="J552" t="s">
        <v>1426</v>
      </c>
      <c r="O552">
        <v>815</v>
      </c>
      <c r="P552" t="str">
        <f t="shared" si="41"/>
        <v>NURGAZ NG-0700 ŞALOMA</v>
      </c>
      <c r="Q552" s="1">
        <f t="shared" si="42"/>
        <v>1300</v>
      </c>
      <c r="R552" t="str">
        <f t="shared" si="43"/>
        <v>TL</v>
      </c>
      <c r="S552" t="str">
        <f t="shared" si="44"/>
        <v>TÜP</v>
      </c>
      <c r="T552" t="str">
        <f t="shared" si="40"/>
        <v>tup</v>
      </c>
    </row>
    <row r="553" spans="1:20" x14ac:dyDescent="0.25">
      <c r="A553" t="s">
        <v>1422</v>
      </c>
      <c r="B553">
        <v>782</v>
      </c>
      <c r="C553" t="s">
        <v>1951</v>
      </c>
      <c r="D553" t="s">
        <v>514</v>
      </c>
      <c r="E553">
        <v>330</v>
      </c>
      <c r="F553" t="s">
        <v>0</v>
      </c>
      <c r="G553" t="s">
        <v>1553</v>
      </c>
      <c r="H553" t="s">
        <v>1425</v>
      </c>
      <c r="I553" t="s">
        <v>1426</v>
      </c>
      <c r="J553" t="s">
        <v>1426</v>
      </c>
      <c r="O553">
        <v>816</v>
      </c>
      <c r="P553" t="str">
        <f t="shared" si="41"/>
        <v>NURGAZ NG-075 TROYA OCAK</v>
      </c>
      <c r="Q553" s="1">
        <f t="shared" si="42"/>
        <v>1200</v>
      </c>
      <c r="R553" t="str">
        <f t="shared" si="43"/>
        <v>TL</v>
      </c>
      <c r="S553" t="str">
        <f t="shared" si="44"/>
        <v>TÜP</v>
      </c>
      <c r="T553" t="str">
        <f t="shared" si="40"/>
        <v>tup</v>
      </c>
    </row>
    <row r="554" spans="1:20" x14ac:dyDescent="0.25">
      <c r="A554" t="s">
        <v>1422</v>
      </c>
      <c r="B554">
        <v>783</v>
      </c>
      <c r="C554" t="s">
        <v>1948</v>
      </c>
      <c r="D554" t="s">
        <v>515</v>
      </c>
      <c r="E554">
        <v>140</v>
      </c>
      <c r="F554" t="s">
        <v>0</v>
      </c>
      <c r="G554" t="s">
        <v>1553</v>
      </c>
      <c r="H554" t="s">
        <v>1425</v>
      </c>
      <c r="I554" t="s">
        <v>1426</v>
      </c>
      <c r="J554" t="s">
        <v>1426</v>
      </c>
      <c r="O554">
        <v>817</v>
      </c>
      <c r="P554" t="str">
        <f t="shared" si="41"/>
        <v>NURGAZ NG-076 OLYMPOS OCAK</v>
      </c>
      <c r="Q554" s="1">
        <f t="shared" si="42"/>
        <v>1400</v>
      </c>
      <c r="R554" t="str">
        <f t="shared" si="43"/>
        <v>TL</v>
      </c>
      <c r="S554" t="str">
        <f t="shared" si="44"/>
        <v>TÜP</v>
      </c>
      <c r="T554" t="str">
        <f t="shared" si="40"/>
        <v>tup</v>
      </c>
    </row>
    <row r="555" spans="1:20" x14ac:dyDescent="0.25">
      <c r="A555" t="s">
        <v>1422</v>
      </c>
      <c r="B555">
        <v>784</v>
      </c>
      <c r="C555" t="s">
        <v>1947</v>
      </c>
      <c r="D555" t="s">
        <v>516</v>
      </c>
      <c r="E555">
        <v>0</v>
      </c>
      <c r="F555" t="s">
        <v>0</v>
      </c>
      <c r="G555" t="s">
        <v>1553</v>
      </c>
      <c r="H555" t="s">
        <v>1425</v>
      </c>
      <c r="I555" t="s">
        <v>1426</v>
      </c>
      <c r="J555" t="s">
        <v>1426</v>
      </c>
      <c r="O555">
        <v>818</v>
      </c>
      <c r="P555" t="str">
        <f t="shared" si="41"/>
        <v>NURGAZ NG-0800 ŞALOMA</v>
      </c>
      <c r="Q555" s="1">
        <f t="shared" si="42"/>
        <v>1600</v>
      </c>
      <c r="R555" t="str">
        <f t="shared" si="43"/>
        <v>TL</v>
      </c>
      <c r="S555" t="str">
        <f t="shared" si="44"/>
        <v>TÜP</v>
      </c>
      <c r="T555" t="str">
        <f t="shared" si="40"/>
        <v>tup</v>
      </c>
    </row>
    <row r="556" spans="1:20" x14ac:dyDescent="0.25">
      <c r="A556" t="s">
        <v>1422</v>
      </c>
      <c r="B556">
        <v>785</v>
      </c>
      <c r="C556" t="s">
        <v>1946</v>
      </c>
      <c r="D556" t="s">
        <v>517</v>
      </c>
      <c r="E556">
        <v>140</v>
      </c>
      <c r="F556" t="s">
        <v>0</v>
      </c>
      <c r="G556" t="s">
        <v>1553</v>
      </c>
      <c r="H556" t="s">
        <v>1425</v>
      </c>
      <c r="I556" t="s">
        <v>1426</v>
      </c>
      <c r="J556" t="s">
        <v>1426</v>
      </c>
      <c r="O556">
        <v>819</v>
      </c>
      <c r="P556" t="str">
        <f t="shared" si="41"/>
        <v>NURGAZ NG-0975 ŞALOMA TETİKLİ (25 CM)</v>
      </c>
      <c r="Q556" s="1">
        <f t="shared" si="42"/>
        <v>1600</v>
      </c>
      <c r="R556" t="str">
        <f t="shared" si="43"/>
        <v>TL</v>
      </c>
      <c r="S556" t="str">
        <f t="shared" si="44"/>
        <v>TÜP</v>
      </c>
      <c r="T556" t="str">
        <f t="shared" si="40"/>
        <v>tup</v>
      </c>
    </row>
    <row r="557" spans="1:20" x14ac:dyDescent="0.25">
      <c r="A557" t="s">
        <v>1422</v>
      </c>
      <c r="B557">
        <v>786</v>
      </c>
      <c r="C557" t="s">
        <v>1945</v>
      </c>
      <c r="D557" t="s">
        <v>518</v>
      </c>
      <c r="E557">
        <v>210</v>
      </c>
      <c r="F557" t="s">
        <v>0</v>
      </c>
      <c r="G557" t="s">
        <v>1553</v>
      </c>
      <c r="H557" t="s">
        <v>1425</v>
      </c>
      <c r="I557" t="s">
        <v>1426</v>
      </c>
      <c r="J557" t="s">
        <v>1426</v>
      </c>
      <c r="O557">
        <v>820</v>
      </c>
      <c r="P557" t="str">
        <f t="shared" si="41"/>
        <v>NURGAZ NG-0985 ŞALOMA TETİKLİ (33 CM)</v>
      </c>
      <c r="Q557" s="1">
        <f t="shared" si="42"/>
        <v>1700</v>
      </c>
      <c r="R557" t="str">
        <f t="shared" si="43"/>
        <v>TL</v>
      </c>
      <c r="S557" t="str">
        <f t="shared" si="44"/>
        <v>TÜP</v>
      </c>
      <c r="T557" t="str">
        <f t="shared" si="40"/>
        <v>tup</v>
      </c>
    </row>
    <row r="558" spans="1:20" x14ac:dyDescent="0.25">
      <c r="A558" t="s">
        <v>1422</v>
      </c>
      <c r="B558">
        <v>787</v>
      </c>
      <c r="C558" t="s">
        <v>1944</v>
      </c>
      <c r="D558" t="s">
        <v>519</v>
      </c>
      <c r="E558">
        <v>280</v>
      </c>
      <c r="F558" t="s">
        <v>0</v>
      </c>
      <c r="G558" t="s">
        <v>1553</v>
      </c>
      <c r="H558" t="s">
        <v>1425</v>
      </c>
      <c r="I558" t="s">
        <v>1426</v>
      </c>
      <c r="J558" t="s">
        <v>1426</v>
      </c>
      <c r="O558">
        <v>821</v>
      </c>
      <c r="P558" t="str">
        <f t="shared" si="41"/>
        <v>NURGAZ NG-0995 ŞALOMA TETİKLİ (13 CM)</v>
      </c>
      <c r="Q558" s="1">
        <f t="shared" si="42"/>
        <v>1500</v>
      </c>
      <c r="R558" t="str">
        <f t="shared" si="43"/>
        <v>TL</v>
      </c>
      <c r="S558" t="str">
        <f t="shared" si="44"/>
        <v>TÜP</v>
      </c>
      <c r="T558" t="str">
        <f t="shared" si="40"/>
        <v>tup</v>
      </c>
    </row>
    <row r="559" spans="1:20" x14ac:dyDescent="0.25">
      <c r="A559" t="s">
        <v>1422</v>
      </c>
      <c r="B559">
        <v>788</v>
      </c>
      <c r="C559" t="s">
        <v>1943</v>
      </c>
      <c r="D559" t="s">
        <v>520</v>
      </c>
      <c r="E559">
        <v>240</v>
      </c>
      <c r="F559" t="s">
        <v>0</v>
      </c>
      <c r="G559" t="s">
        <v>1553</v>
      </c>
      <c r="H559" t="s">
        <v>1425</v>
      </c>
      <c r="I559" t="s">
        <v>1426</v>
      </c>
      <c r="J559" t="s">
        <v>1426</v>
      </c>
      <c r="O559">
        <v>822</v>
      </c>
      <c r="P559" t="str">
        <f t="shared" si="41"/>
        <v>NURGAZ NG-1010 ŞALOMA TETİKLİ (45CM)</v>
      </c>
      <c r="Q559" s="1">
        <f t="shared" si="42"/>
        <v>1800</v>
      </c>
      <c r="R559" t="str">
        <f t="shared" si="43"/>
        <v>TL</v>
      </c>
      <c r="S559" t="str">
        <f t="shared" si="44"/>
        <v>TÜP</v>
      </c>
      <c r="T559" t="str">
        <f t="shared" si="40"/>
        <v>tup</v>
      </c>
    </row>
    <row r="560" spans="1:20" x14ac:dyDescent="0.25">
      <c r="A560" t="s">
        <v>1422</v>
      </c>
      <c r="B560">
        <v>789</v>
      </c>
      <c r="C560" t="s">
        <v>1942</v>
      </c>
      <c r="D560" t="s">
        <v>521</v>
      </c>
      <c r="E560">
        <v>0</v>
      </c>
      <c r="F560" t="s">
        <v>0</v>
      </c>
      <c r="G560" t="s">
        <v>1553</v>
      </c>
      <c r="H560" t="s">
        <v>1425</v>
      </c>
      <c r="I560" t="s">
        <v>1426</v>
      </c>
      <c r="J560" t="s">
        <v>1426</v>
      </c>
      <c r="O560">
        <v>823</v>
      </c>
      <c r="P560" t="str">
        <f t="shared" si="41"/>
        <v>NURGAZ NG-1060 ŞALOMA TETİKLİ (75CM)</v>
      </c>
      <c r="Q560" s="1">
        <f t="shared" si="42"/>
        <v>1900</v>
      </c>
      <c r="R560" t="str">
        <f t="shared" si="43"/>
        <v>TL</v>
      </c>
      <c r="S560" t="str">
        <f t="shared" si="44"/>
        <v>TÜP</v>
      </c>
      <c r="T560" t="str">
        <f t="shared" si="40"/>
        <v>tup</v>
      </c>
    </row>
    <row r="561" spans="1:20" x14ac:dyDescent="0.25">
      <c r="A561" t="s">
        <v>1422</v>
      </c>
      <c r="B561">
        <v>790</v>
      </c>
      <c r="C561" t="s">
        <v>1941</v>
      </c>
      <c r="D561" t="s">
        <v>522</v>
      </c>
      <c r="E561">
        <v>0</v>
      </c>
      <c r="F561" t="s">
        <v>0</v>
      </c>
      <c r="G561" t="s">
        <v>1553</v>
      </c>
      <c r="H561" t="s">
        <v>1425</v>
      </c>
      <c r="I561" t="s">
        <v>1426</v>
      </c>
      <c r="J561" t="s">
        <v>1426</v>
      </c>
      <c r="O561">
        <v>824</v>
      </c>
      <c r="P561" t="str">
        <f t="shared" si="41"/>
        <v>NURGAZ NG-1300 ŞALOMA</v>
      </c>
      <c r="Q561" s="1">
        <f t="shared" si="42"/>
        <v>0</v>
      </c>
      <c r="R561" t="str">
        <f t="shared" si="43"/>
        <v>TL</v>
      </c>
      <c r="S561" t="str">
        <f t="shared" si="44"/>
        <v>TÜP</v>
      </c>
      <c r="T561" t="str">
        <f t="shared" si="40"/>
        <v>tup</v>
      </c>
    </row>
    <row r="562" spans="1:20" x14ac:dyDescent="0.25">
      <c r="A562" t="s">
        <v>1422</v>
      </c>
      <c r="B562">
        <v>791</v>
      </c>
      <c r="C562" t="s">
        <v>1940</v>
      </c>
      <c r="D562" t="s">
        <v>523</v>
      </c>
      <c r="E562">
        <v>1400</v>
      </c>
      <c r="F562" t="s">
        <v>0</v>
      </c>
      <c r="G562" t="s">
        <v>1553</v>
      </c>
      <c r="H562" t="s">
        <v>1425</v>
      </c>
      <c r="I562" t="s">
        <v>1426</v>
      </c>
      <c r="J562" t="s">
        <v>1426</v>
      </c>
      <c r="O562">
        <v>825</v>
      </c>
      <c r="P562" t="str">
        <f t="shared" si="41"/>
        <v>NURGAZ NG-503 TORCH PÜRMÜZ</v>
      </c>
      <c r="Q562" s="1">
        <f t="shared" si="42"/>
        <v>1300</v>
      </c>
      <c r="R562" t="str">
        <f t="shared" si="43"/>
        <v>TL</v>
      </c>
      <c r="S562" t="str">
        <f t="shared" si="44"/>
        <v>TÜP</v>
      </c>
      <c r="T562" t="str">
        <f t="shared" si="40"/>
        <v>tup</v>
      </c>
    </row>
    <row r="563" spans="1:20" x14ac:dyDescent="0.25">
      <c r="A563" t="s">
        <v>1422</v>
      </c>
      <c r="B563">
        <v>792</v>
      </c>
      <c r="C563" t="s">
        <v>1939</v>
      </c>
      <c r="D563" t="s">
        <v>524</v>
      </c>
      <c r="E563">
        <v>900</v>
      </c>
      <c r="F563" t="s">
        <v>0</v>
      </c>
      <c r="G563" t="s">
        <v>1553</v>
      </c>
      <c r="H563" t="s">
        <v>1425</v>
      </c>
      <c r="I563" t="s">
        <v>1426</v>
      </c>
      <c r="J563" t="s">
        <v>1426</v>
      </c>
      <c r="O563">
        <v>829</v>
      </c>
      <c r="P563" t="str">
        <f t="shared" si="41"/>
        <v>NURGAZ TURBO KAMP OCAK AYGAZ</v>
      </c>
      <c r="Q563" s="1">
        <f t="shared" si="42"/>
        <v>440</v>
      </c>
      <c r="R563" t="str">
        <f t="shared" si="43"/>
        <v>TL</v>
      </c>
      <c r="S563" t="str">
        <f t="shared" si="44"/>
        <v>TÜP</v>
      </c>
      <c r="T563" t="str">
        <f t="shared" si="40"/>
        <v>tup</v>
      </c>
    </row>
    <row r="564" spans="1:20" x14ac:dyDescent="0.25">
      <c r="A564" t="s">
        <v>1422</v>
      </c>
      <c r="B564">
        <v>793</v>
      </c>
      <c r="C564" t="s">
        <v>1938</v>
      </c>
      <c r="D564" t="s">
        <v>525</v>
      </c>
      <c r="E564">
        <v>900</v>
      </c>
      <c r="F564" t="s">
        <v>0</v>
      </c>
      <c r="G564" t="s">
        <v>1553</v>
      </c>
      <c r="H564" t="s">
        <v>1425</v>
      </c>
      <c r="I564" t="s">
        <v>1426</v>
      </c>
      <c r="J564" t="s">
        <v>1426</v>
      </c>
      <c r="O564">
        <v>830</v>
      </c>
      <c r="P564" t="str">
        <f t="shared" si="41"/>
        <v>NURGAZ TURBO KAMP OCAK İPRA</v>
      </c>
      <c r="Q564" s="1">
        <f t="shared" si="42"/>
        <v>460</v>
      </c>
      <c r="R564" t="str">
        <f t="shared" si="43"/>
        <v>TL</v>
      </c>
      <c r="S564" t="str">
        <f t="shared" si="44"/>
        <v>TÜP</v>
      </c>
      <c r="T564" t="str">
        <f t="shared" si="40"/>
        <v>tup</v>
      </c>
    </row>
    <row r="565" spans="1:20" x14ac:dyDescent="0.25">
      <c r="A565" t="s">
        <v>1422</v>
      </c>
      <c r="B565">
        <v>794</v>
      </c>
      <c r="C565" t="s">
        <v>1909</v>
      </c>
      <c r="D565" t="s">
        <v>863</v>
      </c>
      <c r="E565">
        <v>175</v>
      </c>
      <c r="F565" t="s">
        <v>0</v>
      </c>
      <c r="G565" t="s">
        <v>1553</v>
      </c>
      <c r="H565" t="s">
        <v>1425</v>
      </c>
      <c r="I565" t="s">
        <v>1426</v>
      </c>
      <c r="J565" t="s">
        <v>1426</v>
      </c>
      <c r="O565">
        <v>831</v>
      </c>
      <c r="P565" t="str">
        <f t="shared" si="41"/>
        <v>NURGAZ UZUN KARTUŞ NG-207</v>
      </c>
      <c r="Q565" s="1">
        <f t="shared" si="42"/>
        <v>280</v>
      </c>
      <c r="R565" t="str">
        <f t="shared" si="43"/>
        <v>TL</v>
      </c>
      <c r="S565" t="str">
        <f t="shared" si="44"/>
        <v>TÜP</v>
      </c>
      <c r="T565" t="str">
        <f t="shared" si="40"/>
        <v>tup</v>
      </c>
    </row>
    <row r="566" spans="1:20" x14ac:dyDescent="0.25">
      <c r="A566" t="s">
        <v>1422</v>
      </c>
      <c r="B566">
        <v>795</v>
      </c>
      <c r="C566" t="s">
        <v>1908</v>
      </c>
      <c r="D566" t="s">
        <v>864</v>
      </c>
      <c r="E566">
        <v>185</v>
      </c>
      <c r="F566" t="s">
        <v>0</v>
      </c>
      <c r="G566" t="s">
        <v>1553</v>
      </c>
      <c r="H566" t="s">
        <v>1425</v>
      </c>
      <c r="I566" t="s">
        <v>1426</v>
      </c>
      <c r="J566" t="s">
        <v>1426</v>
      </c>
      <c r="O566">
        <v>832</v>
      </c>
      <c r="P566" t="str">
        <f t="shared" si="41"/>
        <v>OCAK DOĞALGAZ GİRİŞ</v>
      </c>
      <c r="Q566" s="1">
        <f t="shared" si="42"/>
        <v>70</v>
      </c>
      <c r="R566" t="str">
        <f t="shared" si="43"/>
        <v>TL</v>
      </c>
      <c r="S566" t="str">
        <f t="shared" si="44"/>
        <v>TÜP</v>
      </c>
      <c r="T566" t="str">
        <f t="shared" si="40"/>
        <v>tup</v>
      </c>
    </row>
    <row r="567" spans="1:20" x14ac:dyDescent="0.25">
      <c r="A567" t="s">
        <v>1422</v>
      </c>
      <c r="B567">
        <v>796</v>
      </c>
      <c r="C567" t="s">
        <v>1937</v>
      </c>
      <c r="D567" t="s">
        <v>526</v>
      </c>
      <c r="E567">
        <v>1100</v>
      </c>
      <c r="F567" t="s">
        <v>0</v>
      </c>
      <c r="G567" t="s">
        <v>1553</v>
      </c>
      <c r="H567" t="s">
        <v>1425</v>
      </c>
      <c r="I567" t="s">
        <v>1426</v>
      </c>
      <c r="J567" t="s">
        <v>1426</v>
      </c>
      <c r="O567">
        <v>833</v>
      </c>
      <c r="P567" t="str">
        <f t="shared" si="41"/>
        <v>OCAK HORTUM GİRİŞİ</v>
      </c>
      <c r="Q567" s="1">
        <f t="shared" si="42"/>
        <v>70</v>
      </c>
      <c r="R567" t="str">
        <f t="shared" si="43"/>
        <v>TL</v>
      </c>
      <c r="S567" t="str">
        <f t="shared" si="44"/>
        <v>TÜP</v>
      </c>
      <c r="T567" t="str">
        <f t="shared" si="40"/>
        <v>tup</v>
      </c>
    </row>
    <row r="568" spans="1:20" x14ac:dyDescent="0.25">
      <c r="A568" t="s">
        <v>1422</v>
      </c>
      <c r="B568">
        <v>798</v>
      </c>
      <c r="C568" t="s">
        <v>1936</v>
      </c>
      <c r="D568" t="s">
        <v>527</v>
      </c>
      <c r="E568">
        <v>185</v>
      </c>
      <c r="F568" t="s">
        <v>0</v>
      </c>
      <c r="G568" t="s">
        <v>1553</v>
      </c>
      <c r="H568" t="s">
        <v>1425</v>
      </c>
      <c r="I568" t="s">
        <v>1426</v>
      </c>
      <c r="J568" t="s">
        <v>1426</v>
      </c>
      <c r="O568">
        <v>834</v>
      </c>
      <c r="P568" t="str">
        <f t="shared" si="41"/>
        <v>OCAK KÖRTAPA DAR</v>
      </c>
      <c r="Q568" s="1">
        <f t="shared" si="42"/>
        <v>70</v>
      </c>
      <c r="R568" t="str">
        <f t="shared" si="43"/>
        <v>TL</v>
      </c>
      <c r="S568" t="str">
        <f t="shared" si="44"/>
        <v>TÜP</v>
      </c>
      <c r="T568" t="str">
        <f t="shared" si="40"/>
        <v>tup</v>
      </c>
    </row>
    <row r="569" spans="1:20" x14ac:dyDescent="0.25">
      <c r="A569" t="s">
        <v>1422</v>
      </c>
      <c r="B569">
        <v>799</v>
      </c>
      <c r="C569" t="s">
        <v>1935</v>
      </c>
      <c r="D569" t="s">
        <v>528</v>
      </c>
      <c r="E569">
        <v>195</v>
      </c>
      <c r="F569" t="s">
        <v>0</v>
      </c>
      <c r="G569" t="s">
        <v>1553</v>
      </c>
      <c r="H569" t="s">
        <v>1425</v>
      </c>
      <c r="I569" t="s">
        <v>1426</v>
      </c>
      <c r="J569" t="s">
        <v>1426</v>
      </c>
      <c r="O569">
        <v>835</v>
      </c>
      <c r="P569" t="str">
        <f t="shared" si="41"/>
        <v>OCAK ÜSTÜ KÜNEFE OCAĞI</v>
      </c>
      <c r="Q569" s="1">
        <f t="shared" si="42"/>
        <v>1500</v>
      </c>
      <c r="R569" t="str">
        <f t="shared" si="43"/>
        <v>TL</v>
      </c>
      <c r="S569" t="str">
        <f t="shared" si="44"/>
        <v>TÜP</v>
      </c>
      <c r="T569" t="str">
        <f t="shared" si="40"/>
        <v>tup</v>
      </c>
    </row>
    <row r="570" spans="1:20" x14ac:dyDescent="0.25">
      <c r="A570" t="s">
        <v>1422</v>
      </c>
      <c r="B570">
        <v>800</v>
      </c>
      <c r="C570" t="s">
        <v>1934</v>
      </c>
      <c r="D570" t="s">
        <v>529</v>
      </c>
      <c r="E570">
        <v>300</v>
      </c>
      <c r="F570" t="s">
        <v>0</v>
      </c>
      <c r="G570" t="s">
        <v>1553</v>
      </c>
      <c r="H570" t="s">
        <v>1425</v>
      </c>
      <c r="I570" t="s">
        <v>1426</v>
      </c>
      <c r="J570" t="s">
        <v>1426</v>
      </c>
      <c r="O570">
        <v>836</v>
      </c>
      <c r="P570" t="str">
        <f t="shared" si="41"/>
        <v>ORGAZ 500 GR LÜKS LAMBA</v>
      </c>
      <c r="Q570" s="1">
        <f t="shared" si="42"/>
        <v>1300</v>
      </c>
      <c r="R570" t="str">
        <f t="shared" si="43"/>
        <v>TL</v>
      </c>
      <c r="S570" t="str">
        <f t="shared" si="44"/>
        <v>TÜP</v>
      </c>
      <c r="T570" t="str">
        <f t="shared" si="40"/>
        <v>tup</v>
      </c>
    </row>
    <row r="571" spans="1:20" x14ac:dyDescent="0.25">
      <c r="A571" t="s">
        <v>1422</v>
      </c>
      <c r="B571">
        <v>801</v>
      </c>
      <c r="C571" t="s">
        <v>1933</v>
      </c>
      <c r="D571" t="s">
        <v>530</v>
      </c>
      <c r="E571">
        <v>205</v>
      </c>
      <c r="F571" t="s">
        <v>0</v>
      </c>
      <c r="G571" t="s">
        <v>1553</v>
      </c>
      <c r="H571" t="s">
        <v>1425</v>
      </c>
      <c r="I571" t="s">
        <v>1426</v>
      </c>
      <c r="J571" t="s">
        <v>1426</v>
      </c>
      <c r="O571">
        <v>838</v>
      </c>
      <c r="P571" t="str">
        <f t="shared" ref="P571:P625" si="45">IFERROR(VLOOKUP(O571,$M:$N,2,0), VLOOKUP(O571,$B:$D,3,0))</f>
        <v>PİKNİK DÜĞME</v>
      </c>
      <c r="Q571" s="1">
        <f t="shared" ref="Q571:Q625" si="46">VLOOKUP(O571,$B:$E,4,0)*2</f>
        <v>10</v>
      </c>
      <c r="R571" t="str">
        <f t="shared" ref="R571:R625" si="47">VLOOKUP(O571,$B:$F,5,0)</f>
        <v>TL</v>
      </c>
      <c r="S571" t="str">
        <f t="shared" ref="S571:S625" si="48">VLOOKUP(O571,$B:$G,6,0)</f>
        <v>TÜP</v>
      </c>
      <c r="T571" t="str">
        <f t="shared" ref="T571:T624" si="49">IF(S571="KEA","kea",IF(S571="MOBİLYA","mobilya",IF(S571="TÜP","tup",IF(S571="MASA-SAND-SEHPA-ZİGON","mssz",IF(S571="ENDÜSTRİYEL","endustriyel",IF(S571="YEDEK PARÇA","diger",""))))))</f>
        <v>tup</v>
      </c>
    </row>
    <row r="572" spans="1:20" x14ac:dyDescent="0.25">
      <c r="A572" t="s">
        <v>1422</v>
      </c>
      <c r="B572">
        <v>802</v>
      </c>
      <c r="C572" t="s">
        <v>1932</v>
      </c>
      <c r="D572" t="s">
        <v>531</v>
      </c>
      <c r="E572">
        <v>215</v>
      </c>
      <c r="F572" t="s">
        <v>0</v>
      </c>
      <c r="G572" t="s">
        <v>1553</v>
      </c>
      <c r="H572" t="s">
        <v>1425</v>
      </c>
      <c r="I572" t="s">
        <v>1426</v>
      </c>
      <c r="J572" t="s">
        <v>1426</v>
      </c>
      <c r="O572">
        <v>839</v>
      </c>
      <c r="P572" t="str">
        <f t="shared" si="45"/>
        <v>PİKNİK MEME</v>
      </c>
      <c r="Q572" s="1">
        <f t="shared" si="46"/>
        <v>30</v>
      </c>
      <c r="R572" t="str">
        <f t="shared" si="47"/>
        <v>TL</v>
      </c>
      <c r="S572" t="str">
        <f t="shared" si="48"/>
        <v>TÜP</v>
      </c>
      <c r="T572" t="str">
        <f t="shared" si="49"/>
        <v>tup</v>
      </c>
    </row>
    <row r="573" spans="1:20" x14ac:dyDescent="0.25">
      <c r="A573" t="s">
        <v>1422</v>
      </c>
      <c r="B573">
        <v>803</v>
      </c>
      <c r="C573" t="s">
        <v>1931</v>
      </c>
      <c r="D573" t="s">
        <v>532</v>
      </c>
      <c r="E573">
        <v>400</v>
      </c>
      <c r="F573" t="s">
        <v>0</v>
      </c>
      <c r="G573" t="s">
        <v>1553</v>
      </c>
      <c r="H573" t="s">
        <v>1425</v>
      </c>
      <c r="I573" t="s">
        <v>1426</v>
      </c>
      <c r="J573" t="s">
        <v>1426</v>
      </c>
      <c r="O573">
        <v>840</v>
      </c>
      <c r="P573" t="str">
        <f t="shared" si="45"/>
        <v>PİKNİK UÇ HORTUM GİRECEK</v>
      </c>
      <c r="Q573" s="1">
        <f t="shared" si="46"/>
        <v>30</v>
      </c>
      <c r="R573" t="str">
        <f t="shared" si="47"/>
        <v>TL</v>
      </c>
      <c r="S573" t="str">
        <f t="shared" si="48"/>
        <v>TÜP</v>
      </c>
      <c r="T573" t="str">
        <f t="shared" si="49"/>
        <v>tup</v>
      </c>
    </row>
    <row r="574" spans="1:20" x14ac:dyDescent="0.25">
      <c r="A574" t="s">
        <v>1422</v>
      </c>
      <c r="B574">
        <v>804</v>
      </c>
      <c r="C574" t="s">
        <v>1930</v>
      </c>
      <c r="D574" t="s">
        <v>533</v>
      </c>
      <c r="E574">
        <v>400</v>
      </c>
      <c r="F574" t="s">
        <v>0</v>
      </c>
      <c r="G574" t="s">
        <v>1553</v>
      </c>
      <c r="H574" t="s">
        <v>1425</v>
      </c>
      <c r="I574" t="s">
        <v>1426</v>
      </c>
      <c r="J574" t="s">
        <v>1426</v>
      </c>
      <c r="O574">
        <v>841</v>
      </c>
      <c r="P574" t="str">
        <f t="shared" si="45"/>
        <v>PİKNİK VİDA</v>
      </c>
      <c r="Q574" s="1">
        <f t="shared" si="46"/>
        <v>2</v>
      </c>
      <c r="R574" t="str">
        <f t="shared" si="47"/>
        <v>TL</v>
      </c>
      <c r="S574" t="str">
        <f t="shared" si="48"/>
        <v>TÜP</v>
      </c>
      <c r="T574" t="str">
        <f t="shared" si="49"/>
        <v>tup</v>
      </c>
    </row>
    <row r="575" spans="1:20" x14ac:dyDescent="0.25">
      <c r="A575" t="s">
        <v>1422</v>
      </c>
      <c r="B575">
        <v>806</v>
      </c>
      <c r="C575" t="s">
        <v>1929</v>
      </c>
      <c r="D575" t="s">
        <v>534</v>
      </c>
      <c r="E575">
        <v>0</v>
      </c>
      <c r="F575" t="s">
        <v>0</v>
      </c>
      <c r="G575" t="s">
        <v>1553</v>
      </c>
      <c r="H575" t="s">
        <v>1425</v>
      </c>
      <c r="I575" t="s">
        <v>1426</v>
      </c>
      <c r="J575" t="s">
        <v>1426</v>
      </c>
      <c r="O575">
        <v>842</v>
      </c>
      <c r="P575" t="str">
        <f t="shared" si="45"/>
        <v>PÜRMÜZ AYGAZ</v>
      </c>
      <c r="Q575" s="1">
        <f t="shared" si="46"/>
        <v>400</v>
      </c>
      <c r="R575" t="str">
        <f t="shared" si="47"/>
        <v>TL</v>
      </c>
      <c r="S575" t="str">
        <f t="shared" si="48"/>
        <v>TÜP</v>
      </c>
      <c r="T575" t="str">
        <f t="shared" si="49"/>
        <v>tup</v>
      </c>
    </row>
    <row r="576" spans="1:20" x14ac:dyDescent="0.25">
      <c r="A576" t="s">
        <v>1422</v>
      </c>
      <c r="B576">
        <v>807</v>
      </c>
      <c r="C576" t="s">
        <v>1928</v>
      </c>
      <c r="D576" t="s">
        <v>535</v>
      </c>
      <c r="E576">
        <v>500</v>
      </c>
      <c r="F576" t="s">
        <v>0</v>
      </c>
      <c r="G576" t="s">
        <v>1553</v>
      </c>
      <c r="H576" t="s">
        <v>1425</v>
      </c>
      <c r="I576" t="s">
        <v>1426</v>
      </c>
      <c r="J576" t="s">
        <v>1426</v>
      </c>
      <c r="O576">
        <v>843</v>
      </c>
      <c r="P576" t="str">
        <f t="shared" si="45"/>
        <v xml:space="preserve">PÜRMÜZ İPRA </v>
      </c>
      <c r="Q576" s="1">
        <f t="shared" si="46"/>
        <v>420</v>
      </c>
      <c r="R576" t="str">
        <f t="shared" si="47"/>
        <v>TL</v>
      </c>
      <c r="S576" t="str">
        <f t="shared" si="48"/>
        <v>TÜP</v>
      </c>
      <c r="T576" t="str">
        <f t="shared" si="49"/>
        <v>tup</v>
      </c>
    </row>
    <row r="577" spans="1:20" x14ac:dyDescent="0.25">
      <c r="A577" t="s">
        <v>1422</v>
      </c>
      <c r="B577">
        <v>808</v>
      </c>
      <c r="C577" t="s">
        <v>1927</v>
      </c>
      <c r="D577" t="s">
        <v>536</v>
      </c>
      <c r="E577">
        <v>500</v>
      </c>
      <c r="F577" t="s">
        <v>0</v>
      </c>
      <c r="G577" t="s">
        <v>1553</v>
      </c>
      <c r="H577" t="s">
        <v>1425</v>
      </c>
      <c r="I577" t="s">
        <v>1426</v>
      </c>
      <c r="J577" t="s">
        <v>1426</v>
      </c>
      <c r="O577">
        <v>844</v>
      </c>
      <c r="P577" t="str">
        <f t="shared" si="45"/>
        <v>RADYAN DOĞALGAZ METSER</v>
      </c>
      <c r="Q577" s="1">
        <f t="shared" si="46"/>
        <v>1260</v>
      </c>
      <c r="R577" t="str">
        <f t="shared" si="47"/>
        <v>TL</v>
      </c>
      <c r="S577" t="str">
        <f t="shared" si="48"/>
        <v>TÜP</v>
      </c>
      <c r="T577" t="str">
        <f t="shared" si="49"/>
        <v>tup</v>
      </c>
    </row>
    <row r="578" spans="1:20" x14ac:dyDescent="0.25">
      <c r="A578" t="s">
        <v>1422</v>
      </c>
      <c r="B578">
        <v>809</v>
      </c>
      <c r="C578" t="s">
        <v>1926</v>
      </c>
      <c r="D578" t="s">
        <v>537</v>
      </c>
      <c r="E578">
        <v>500</v>
      </c>
      <c r="F578" t="s">
        <v>0</v>
      </c>
      <c r="G578" t="s">
        <v>1553</v>
      </c>
      <c r="H578" t="s">
        <v>1425</v>
      </c>
      <c r="I578" t="s">
        <v>1426</v>
      </c>
      <c r="J578" t="s">
        <v>1426</v>
      </c>
      <c r="O578">
        <v>845</v>
      </c>
      <c r="P578" t="str">
        <f t="shared" si="45"/>
        <v>RADYAN LPG METSER</v>
      </c>
      <c r="Q578" s="1">
        <f t="shared" si="46"/>
        <v>1120</v>
      </c>
      <c r="R578" t="str">
        <f t="shared" si="47"/>
        <v>TL</v>
      </c>
      <c r="S578" t="str">
        <f t="shared" si="48"/>
        <v>TÜP</v>
      </c>
      <c r="T578" t="str">
        <f t="shared" si="49"/>
        <v>tup</v>
      </c>
    </row>
    <row r="579" spans="1:20" x14ac:dyDescent="0.25">
      <c r="A579" t="s">
        <v>1422</v>
      </c>
      <c r="B579">
        <v>810</v>
      </c>
      <c r="C579" t="s">
        <v>1925</v>
      </c>
      <c r="D579" t="s">
        <v>538</v>
      </c>
      <c r="E579">
        <v>500</v>
      </c>
      <c r="F579" t="s">
        <v>0</v>
      </c>
      <c r="G579" t="s">
        <v>1553</v>
      </c>
      <c r="H579" t="s">
        <v>1425</v>
      </c>
      <c r="I579" t="s">
        <v>1426</v>
      </c>
      <c r="J579" t="s">
        <v>1426</v>
      </c>
      <c r="O579">
        <v>846</v>
      </c>
      <c r="P579" t="str">
        <f t="shared" si="45"/>
        <v>RADYAN TELİ</v>
      </c>
      <c r="Q579" s="1">
        <f t="shared" si="46"/>
        <v>0</v>
      </c>
      <c r="R579" t="str">
        <f t="shared" si="47"/>
        <v>TL</v>
      </c>
      <c r="S579" t="str">
        <f t="shared" si="48"/>
        <v>TÜP</v>
      </c>
      <c r="T579" t="str">
        <f t="shared" si="49"/>
        <v>tup</v>
      </c>
    </row>
    <row r="580" spans="1:20" x14ac:dyDescent="0.25">
      <c r="A580" t="s">
        <v>1422</v>
      </c>
      <c r="B580">
        <v>811</v>
      </c>
      <c r="C580" t="s">
        <v>1924</v>
      </c>
      <c r="D580" t="s">
        <v>539</v>
      </c>
      <c r="E580">
        <v>525</v>
      </c>
      <c r="F580" t="s">
        <v>0</v>
      </c>
      <c r="G580" t="s">
        <v>1553</v>
      </c>
      <c r="H580" t="s">
        <v>1425</v>
      </c>
      <c r="I580" t="s">
        <v>1426</v>
      </c>
      <c r="J580" t="s">
        <v>1426</v>
      </c>
      <c r="O580">
        <v>847</v>
      </c>
      <c r="P580" t="str">
        <f t="shared" si="45"/>
        <v>BM REDÜKSİYON (PİKNİK MUSLUK APARATLI)</v>
      </c>
      <c r="Q580" s="1">
        <f t="shared" si="46"/>
        <v>600</v>
      </c>
      <c r="R580" t="str">
        <f t="shared" si="47"/>
        <v>TL</v>
      </c>
      <c r="S580" t="str">
        <f t="shared" si="48"/>
        <v>TÜP</v>
      </c>
      <c r="T580" t="str">
        <f t="shared" si="49"/>
        <v>tup</v>
      </c>
    </row>
    <row r="581" spans="1:20" x14ac:dyDescent="0.25">
      <c r="A581" t="s">
        <v>1422</v>
      </c>
      <c r="B581">
        <v>812</v>
      </c>
      <c r="C581" t="s">
        <v>1923</v>
      </c>
      <c r="D581" t="s">
        <v>540</v>
      </c>
      <c r="E581">
        <v>550</v>
      </c>
      <c r="F581" t="s">
        <v>0</v>
      </c>
      <c r="G581" t="s">
        <v>1553</v>
      </c>
      <c r="H581" t="s">
        <v>1425</v>
      </c>
      <c r="I581" t="s">
        <v>1426</v>
      </c>
      <c r="J581" t="s">
        <v>1426</v>
      </c>
      <c r="O581">
        <v>848</v>
      </c>
      <c r="P581" t="str">
        <f t="shared" si="45"/>
        <v>SANAYİ BORU</v>
      </c>
      <c r="Q581" s="1">
        <f t="shared" si="46"/>
        <v>0</v>
      </c>
      <c r="R581" t="str">
        <f t="shared" si="47"/>
        <v>TL</v>
      </c>
      <c r="S581" t="str">
        <f t="shared" si="48"/>
        <v>TÜP</v>
      </c>
      <c r="T581" t="str">
        <f t="shared" si="49"/>
        <v>tup</v>
      </c>
    </row>
    <row r="582" spans="1:20" x14ac:dyDescent="0.25">
      <c r="A582" t="s">
        <v>1422</v>
      </c>
      <c r="B582">
        <v>813</v>
      </c>
      <c r="C582" t="s">
        <v>1922</v>
      </c>
      <c r="D582" t="s">
        <v>541</v>
      </c>
      <c r="E582">
        <v>600</v>
      </c>
      <c r="F582" t="s">
        <v>0</v>
      </c>
      <c r="G582" t="s">
        <v>1553</v>
      </c>
      <c r="H582" t="s">
        <v>1425</v>
      </c>
      <c r="I582" t="s">
        <v>1426</v>
      </c>
      <c r="J582" t="s">
        <v>1426</v>
      </c>
      <c r="O582">
        <v>849</v>
      </c>
      <c r="P582" t="str">
        <f t="shared" si="45"/>
        <v>SANAYİ MUSLUK DG</v>
      </c>
      <c r="Q582" s="1">
        <f t="shared" si="46"/>
        <v>550</v>
      </c>
      <c r="R582" t="str">
        <f t="shared" si="47"/>
        <v>TL</v>
      </c>
      <c r="S582" t="str">
        <f t="shared" si="48"/>
        <v>TÜP</v>
      </c>
      <c r="T582" t="str">
        <f t="shared" si="49"/>
        <v>tup</v>
      </c>
    </row>
    <row r="583" spans="1:20" x14ac:dyDescent="0.25">
      <c r="A583" t="s">
        <v>1422</v>
      </c>
      <c r="B583">
        <v>814</v>
      </c>
      <c r="C583" t="s">
        <v>1921</v>
      </c>
      <c r="D583" t="s">
        <v>542</v>
      </c>
      <c r="E583">
        <v>650</v>
      </c>
      <c r="F583" t="s">
        <v>0</v>
      </c>
      <c r="G583" t="s">
        <v>1553</v>
      </c>
      <c r="H583" t="s">
        <v>1425</v>
      </c>
      <c r="I583" t="s">
        <v>1426</v>
      </c>
      <c r="J583" t="s">
        <v>1426</v>
      </c>
      <c r="O583">
        <v>850</v>
      </c>
      <c r="P583" t="str">
        <f t="shared" si="45"/>
        <v>SANAYİ MUSLUK LPG</v>
      </c>
      <c r="Q583" s="1">
        <f t="shared" si="46"/>
        <v>550</v>
      </c>
      <c r="R583" t="str">
        <f t="shared" si="47"/>
        <v>TL</v>
      </c>
      <c r="S583" t="str">
        <f t="shared" si="48"/>
        <v>TÜP</v>
      </c>
      <c r="T583" t="str">
        <f t="shared" si="49"/>
        <v>tup</v>
      </c>
    </row>
    <row r="584" spans="1:20" x14ac:dyDescent="0.25">
      <c r="A584" t="s">
        <v>1422</v>
      </c>
      <c r="B584">
        <v>815</v>
      </c>
      <c r="C584" t="s">
        <v>1920</v>
      </c>
      <c r="D584" t="s">
        <v>543</v>
      </c>
      <c r="E584">
        <v>650</v>
      </c>
      <c r="F584" t="s">
        <v>0</v>
      </c>
      <c r="G584" t="s">
        <v>1553</v>
      </c>
      <c r="H584" t="s">
        <v>1425</v>
      </c>
      <c r="I584" t="s">
        <v>1426</v>
      </c>
      <c r="J584" t="s">
        <v>1426</v>
      </c>
      <c r="O584">
        <v>851</v>
      </c>
      <c r="P584" t="str">
        <f t="shared" si="45"/>
        <v>SEBİL BARDAKLIĞI</v>
      </c>
      <c r="Q584" s="1">
        <f t="shared" si="46"/>
        <v>0</v>
      </c>
      <c r="R584" t="str">
        <f t="shared" si="47"/>
        <v>TL</v>
      </c>
      <c r="S584" t="str">
        <f t="shared" si="48"/>
        <v>TÜP</v>
      </c>
      <c r="T584" t="str">
        <f t="shared" si="49"/>
        <v>tup</v>
      </c>
    </row>
    <row r="585" spans="1:20" x14ac:dyDescent="0.25">
      <c r="A585" t="s">
        <v>1422</v>
      </c>
      <c r="B585">
        <v>816</v>
      </c>
      <c r="C585" t="s">
        <v>1919</v>
      </c>
      <c r="D585" t="s">
        <v>544</v>
      </c>
      <c r="E585">
        <v>600</v>
      </c>
      <c r="F585" t="s">
        <v>0</v>
      </c>
      <c r="G585" t="s">
        <v>1553</v>
      </c>
      <c r="H585" t="s">
        <v>1425</v>
      </c>
      <c r="I585" t="s">
        <v>1426</v>
      </c>
      <c r="J585" t="s">
        <v>1426</v>
      </c>
      <c r="O585">
        <v>852</v>
      </c>
      <c r="P585" t="str">
        <f t="shared" si="45"/>
        <v>SU POMPASI BLUERAİN</v>
      </c>
      <c r="Q585" s="1">
        <f t="shared" si="46"/>
        <v>290</v>
      </c>
      <c r="R585" t="str">
        <f t="shared" si="47"/>
        <v>TL</v>
      </c>
      <c r="S585" t="str">
        <f t="shared" si="48"/>
        <v>TÜP</v>
      </c>
      <c r="T585" t="str">
        <f t="shared" si="49"/>
        <v>tup</v>
      </c>
    </row>
    <row r="586" spans="1:20" x14ac:dyDescent="0.25">
      <c r="A586" t="s">
        <v>1422</v>
      </c>
      <c r="B586">
        <v>817</v>
      </c>
      <c r="C586" t="s">
        <v>1918</v>
      </c>
      <c r="D586" t="s">
        <v>545</v>
      </c>
      <c r="E586">
        <v>700</v>
      </c>
      <c r="F586" t="s">
        <v>0</v>
      </c>
      <c r="G586" t="s">
        <v>1553</v>
      </c>
      <c r="H586" t="s">
        <v>1425</v>
      </c>
      <c r="I586" t="s">
        <v>1426</v>
      </c>
      <c r="J586" t="s">
        <v>1426</v>
      </c>
      <c r="O586">
        <v>853</v>
      </c>
      <c r="P586" t="str">
        <f t="shared" si="45"/>
        <v>SU POMPASI DORY</v>
      </c>
      <c r="Q586" s="1">
        <f t="shared" si="46"/>
        <v>250</v>
      </c>
      <c r="R586" t="str">
        <f t="shared" si="47"/>
        <v>TL</v>
      </c>
      <c r="S586" t="str">
        <f t="shared" si="48"/>
        <v>TÜP</v>
      </c>
      <c r="T586" t="str">
        <f t="shared" si="49"/>
        <v>tup</v>
      </c>
    </row>
    <row r="587" spans="1:20" x14ac:dyDescent="0.25">
      <c r="A587" t="s">
        <v>1422</v>
      </c>
      <c r="B587">
        <v>818</v>
      </c>
      <c r="C587" t="s">
        <v>1917</v>
      </c>
      <c r="D587" t="s">
        <v>546</v>
      </c>
      <c r="E587">
        <v>800</v>
      </c>
      <c r="F587" t="s">
        <v>0</v>
      </c>
      <c r="G587" t="s">
        <v>1553</v>
      </c>
      <c r="H587" t="s">
        <v>1425</v>
      </c>
      <c r="I587" t="s">
        <v>1426</v>
      </c>
      <c r="J587" t="s">
        <v>1426</v>
      </c>
      <c r="O587">
        <v>854</v>
      </c>
      <c r="P587" t="str">
        <f t="shared" si="45"/>
        <v>SU POMPASI LABELLA</v>
      </c>
      <c r="Q587" s="1">
        <f t="shared" si="46"/>
        <v>260</v>
      </c>
      <c r="R587" t="str">
        <f t="shared" si="47"/>
        <v>TL</v>
      </c>
      <c r="S587" t="str">
        <f t="shared" si="48"/>
        <v>TÜP</v>
      </c>
      <c r="T587" t="str">
        <f t="shared" si="49"/>
        <v>tup</v>
      </c>
    </row>
    <row r="588" spans="1:20" x14ac:dyDescent="0.25">
      <c r="A588" t="s">
        <v>1422</v>
      </c>
      <c r="B588">
        <v>819</v>
      </c>
      <c r="C588" t="s">
        <v>1916</v>
      </c>
      <c r="D588" t="s">
        <v>547</v>
      </c>
      <c r="E588">
        <v>800</v>
      </c>
      <c r="F588" t="s">
        <v>0</v>
      </c>
      <c r="G588" t="s">
        <v>1553</v>
      </c>
      <c r="H588" t="s">
        <v>1425</v>
      </c>
      <c r="I588" t="s">
        <v>1426</v>
      </c>
      <c r="J588" t="s">
        <v>1426</v>
      </c>
      <c r="O588">
        <v>855</v>
      </c>
      <c r="P588" t="str">
        <f t="shared" si="45"/>
        <v>SÜZGEÇ</v>
      </c>
      <c r="Q588" s="1">
        <f t="shared" si="46"/>
        <v>46</v>
      </c>
      <c r="R588" t="str">
        <f t="shared" si="47"/>
        <v>TL</v>
      </c>
      <c r="S588" t="str">
        <f t="shared" si="48"/>
        <v>TÜP</v>
      </c>
      <c r="T588" t="str">
        <f t="shared" si="49"/>
        <v>tup</v>
      </c>
    </row>
    <row r="589" spans="1:20" x14ac:dyDescent="0.25">
      <c r="A589" t="s">
        <v>1422</v>
      </c>
      <c r="B589">
        <v>820</v>
      </c>
      <c r="C589" t="s">
        <v>1915</v>
      </c>
      <c r="D589" t="s">
        <v>548</v>
      </c>
      <c r="E589">
        <v>850</v>
      </c>
      <c r="F589" t="s">
        <v>0</v>
      </c>
      <c r="G589" t="s">
        <v>1553</v>
      </c>
      <c r="H589" t="s">
        <v>1425</v>
      </c>
      <c r="I589" t="s">
        <v>1426</v>
      </c>
      <c r="J589" t="s">
        <v>1426</v>
      </c>
      <c r="O589">
        <v>856</v>
      </c>
      <c r="P589" t="str">
        <f t="shared" si="45"/>
        <v>DÖNER OCAĞI TEKLİ</v>
      </c>
      <c r="Q589" s="1">
        <f t="shared" si="46"/>
        <v>10500</v>
      </c>
      <c r="R589" t="str">
        <f t="shared" si="47"/>
        <v>TL</v>
      </c>
      <c r="S589" t="str">
        <f t="shared" si="48"/>
        <v>ENDÜSTRİYEL</v>
      </c>
      <c r="T589" t="str">
        <f t="shared" si="49"/>
        <v>endustriyel</v>
      </c>
    </row>
    <row r="590" spans="1:20" x14ac:dyDescent="0.25">
      <c r="A590" t="s">
        <v>1422</v>
      </c>
      <c r="B590">
        <v>821</v>
      </c>
      <c r="C590" t="s">
        <v>1914</v>
      </c>
      <c r="D590" t="s">
        <v>549</v>
      </c>
      <c r="E590">
        <v>750</v>
      </c>
      <c r="F590" t="s">
        <v>0</v>
      </c>
      <c r="G590" t="s">
        <v>1553</v>
      </c>
      <c r="H590" t="s">
        <v>1425</v>
      </c>
      <c r="I590" t="s">
        <v>1426</v>
      </c>
      <c r="J590" t="s">
        <v>1426</v>
      </c>
      <c r="O590">
        <v>857</v>
      </c>
      <c r="P590" t="str">
        <f t="shared" si="45"/>
        <v>FRİTÖZ TEKLİ ELEKTRİKLİ 3 LT</v>
      </c>
      <c r="Q590" s="1">
        <f t="shared" si="46"/>
        <v>8000</v>
      </c>
      <c r="R590" t="str">
        <f t="shared" si="47"/>
        <v>TL</v>
      </c>
      <c r="S590" t="str">
        <f t="shared" si="48"/>
        <v>ENDÜSTRİYEL</v>
      </c>
      <c r="T590" t="str">
        <f t="shared" si="49"/>
        <v>endustriyel</v>
      </c>
    </row>
    <row r="591" spans="1:20" x14ac:dyDescent="0.25">
      <c r="A591" t="s">
        <v>1422</v>
      </c>
      <c r="B591">
        <v>822</v>
      </c>
      <c r="C591" t="s">
        <v>1913</v>
      </c>
      <c r="D591" t="s">
        <v>550</v>
      </c>
      <c r="E591">
        <v>900</v>
      </c>
      <c r="F591" t="s">
        <v>0</v>
      </c>
      <c r="G591" t="s">
        <v>1553</v>
      </c>
      <c r="H591" t="s">
        <v>1425</v>
      </c>
      <c r="I591" t="s">
        <v>1426</v>
      </c>
      <c r="J591" t="s">
        <v>1426</v>
      </c>
      <c r="O591">
        <v>858</v>
      </c>
      <c r="P591" t="str">
        <f t="shared" si="45"/>
        <v>FRİTÖZ TEKLİ ELEKTRİKLİ 5 LT</v>
      </c>
      <c r="Q591" s="1">
        <f t="shared" si="46"/>
        <v>9600</v>
      </c>
      <c r="R591" t="str">
        <f t="shared" si="47"/>
        <v>TL</v>
      </c>
      <c r="S591" t="str">
        <f t="shared" si="48"/>
        <v>ENDÜSTRİYEL</v>
      </c>
      <c r="T591" t="str">
        <f t="shared" si="49"/>
        <v>endustriyel</v>
      </c>
    </row>
    <row r="592" spans="1:20" x14ac:dyDescent="0.25">
      <c r="A592" t="s">
        <v>1422</v>
      </c>
      <c r="B592">
        <v>823</v>
      </c>
      <c r="C592" t="s">
        <v>1912</v>
      </c>
      <c r="D592" t="s">
        <v>551</v>
      </c>
      <c r="E592">
        <v>950</v>
      </c>
      <c r="F592" t="s">
        <v>0</v>
      </c>
      <c r="G592" t="s">
        <v>1553</v>
      </c>
      <c r="H592" t="s">
        <v>1425</v>
      </c>
      <c r="I592" t="s">
        <v>1426</v>
      </c>
      <c r="J592" t="s">
        <v>1426</v>
      </c>
      <c r="O592">
        <v>859</v>
      </c>
      <c r="P592" t="str">
        <f t="shared" si="45"/>
        <v>KAPLANLI PLEYT IZGARA 50CM LPG HAMBURGER KÖFTE</v>
      </c>
      <c r="Q592" s="1">
        <f t="shared" si="46"/>
        <v>13500</v>
      </c>
      <c r="R592" t="str">
        <f t="shared" si="47"/>
        <v>TL</v>
      </c>
      <c r="S592" t="str">
        <f t="shared" si="48"/>
        <v>ENDÜSTRİYEL</v>
      </c>
      <c r="T592" t="str">
        <f t="shared" si="49"/>
        <v>endustriyel</v>
      </c>
    </row>
    <row r="593" spans="1:20" x14ac:dyDescent="0.25">
      <c r="A593" t="s">
        <v>1422</v>
      </c>
      <c r="B593">
        <v>824</v>
      </c>
      <c r="C593" t="s">
        <v>1911</v>
      </c>
      <c r="D593" t="s">
        <v>552</v>
      </c>
      <c r="E593">
        <v>0</v>
      </c>
      <c r="F593" t="s">
        <v>0</v>
      </c>
      <c r="G593" t="s">
        <v>1553</v>
      </c>
      <c r="H593" t="s">
        <v>1425</v>
      </c>
      <c r="I593" t="s">
        <v>1426</v>
      </c>
      <c r="J593" t="s">
        <v>1426</v>
      </c>
      <c r="O593">
        <v>860</v>
      </c>
      <c r="P593" t="str">
        <f t="shared" si="45"/>
        <v>KAPLANLI PLEYT 30CM ELKT TEKLİ KÖFTE OCAĞI</v>
      </c>
      <c r="Q593" s="1">
        <f t="shared" si="46"/>
        <v>6000</v>
      </c>
      <c r="R593" t="str">
        <f t="shared" si="47"/>
        <v>TL</v>
      </c>
      <c r="S593" t="str">
        <f t="shared" si="48"/>
        <v>ENDÜSTRİYEL</v>
      </c>
      <c r="T593" t="str">
        <f t="shared" si="49"/>
        <v>endustriyel</v>
      </c>
    </row>
    <row r="594" spans="1:20" x14ac:dyDescent="0.25">
      <c r="A594" t="s">
        <v>1422</v>
      </c>
      <c r="B594">
        <v>825</v>
      </c>
      <c r="C594" t="s">
        <v>1910</v>
      </c>
      <c r="D594" t="s">
        <v>865</v>
      </c>
      <c r="E594">
        <v>650</v>
      </c>
      <c r="F594" t="s">
        <v>0</v>
      </c>
      <c r="G594" t="s">
        <v>1553</v>
      </c>
      <c r="H594" t="s">
        <v>1425</v>
      </c>
      <c r="I594" t="s">
        <v>1426</v>
      </c>
      <c r="J594" t="s">
        <v>1426</v>
      </c>
      <c r="O594">
        <v>861</v>
      </c>
      <c r="P594" t="str">
        <f t="shared" si="45"/>
        <v>KAPLANLI TEKLİ KÖFTE OCAĞI LPG 30CM PİK IZGARA</v>
      </c>
      <c r="Q594" s="1">
        <f t="shared" si="46"/>
        <v>7500</v>
      </c>
      <c r="R594" t="str">
        <f t="shared" si="47"/>
        <v>TL</v>
      </c>
      <c r="S594" t="str">
        <f t="shared" si="48"/>
        <v>ENDÜSTRİYEL</v>
      </c>
      <c r="T594" t="str">
        <f t="shared" si="49"/>
        <v>endustriyel</v>
      </c>
    </row>
    <row r="595" spans="1:20" x14ac:dyDescent="0.25">
      <c r="A595" t="s">
        <v>1422</v>
      </c>
      <c r="B595">
        <v>829</v>
      </c>
      <c r="C595" t="s">
        <v>1907</v>
      </c>
      <c r="D595" t="s">
        <v>553</v>
      </c>
      <c r="E595">
        <v>220</v>
      </c>
      <c r="F595" t="s">
        <v>0</v>
      </c>
      <c r="G595" t="s">
        <v>1553</v>
      </c>
      <c r="H595" t="s">
        <v>1425</v>
      </c>
      <c r="I595" t="s">
        <v>1426</v>
      </c>
      <c r="J595" t="s">
        <v>1426</v>
      </c>
      <c r="O595">
        <v>862</v>
      </c>
      <c r="P595" t="str">
        <f t="shared" si="45"/>
        <v>TURBO SÜZGEÇ</v>
      </c>
      <c r="Q595" s="1">
        <f t="shared" si="46"/>
        <v>80</v>
      </c>
      <c r="R595" t="str">
        <f t="shared" si="47"/>
        <v>TL</v>
      </c>
      <c r="S595" t="str">
        <f t="shared" si="48"/>
        <v>TÜP</v>
      </c>
      <c r="T595" t="str">
        <f t="shared" si="49"/>
        <v>tup</v>
      </c>
    </row>
    <row r="596" spans="1:20" x14ac:dyDescent="0.25">
      <c r="A596" t="s">
        <v>1422</v>
      </c>
      <c r="B596">
        <v>830</v>
      </c>
      <c r="C596" t="s">
        <v>1906</v>
      </c>
      <c r="D596" t="s">
        <v>554</v>
      </c>
      <c r="E596">
        <v>230</v>
      </c>
      <c r="F596" t="s">
        <v>0</v>
      </c>
      <c r="G596" t="s">
        <v>1553</v>
      </c>
      <c r="H596" t="s">
        <v>1425</v>
      </c>
      <c r="I596" t="s">
        <v>1426</v>
      </c>
      <c r="J596" t="s">
        <v>1426</v>
      </c>
      <c r="O596">
        <v>863</v>
      </c>
      <c r="P596" t="str">
        <f t="shared" si="45"/>
        <v>USTA / KOSVA KÜÇÜK TURBO KAMP OCAK AYGAZ</v>
      </c>
      <c r="Q596" s="1">
        <f t="shared" si="46"/>
        <v>330</v>
      </c>
      <c r="R596" t="str">
        <f t="shared" si="47"/>
        <v>TL</v>
      </c>
      <c r="S596" t="str">
        <f t="shared" si="48"/>
        <v>TÜP</v>
      </c>
      <c r="T596" t="str">
        <f t="shared" si="49"/>
        <v>tup</v>
      </c>
    </row>
    <row r="597" spans="1:20" x14ac:dyDescent="0.25">
      <c r="A597" t="s">
        <v>1422</v>
      </c>
      <c r="B597">
        <v>831</v>
      </c>
      <c r="C597" t="s">
        <v>1905</v>
      </c>
      <c r="D597" t="s">
        <v>555</v>
      </c>
      <c r="E597">
        <v>140</v>
      </c>
      <c r="F597" t="s">
        <v>0</v>
      </c>
      <c r="G597" t="s">
        <v>1553</v>
      </c>
      <c r="H597" t="s">
        <v>1425</v>
      </c>
      <c r="I597" t="s">
        <v>1426</v>
      </c>
      <c r="J597" t="s">
        <v>1426</v>
      </c>
      <c r="O597">
        <v>864</v>
      </c>
      <c r="P597" t="str">
        <f t="shared" si="45"/>
        <v>USTA / KOSVA KÜÇÜK TURBO KAMP OCAK İPRA</v>
      </c>
      <c r="Q597" s="1">
        <f t="shared" si="46"/>
        <v>350</v>
      </c>
      <c r="R597" t="str">
        <f t="shared" si="47"/>
        <v>TL</v>
      </c>
      <c r="S597" t="str">
        <f t="shared" si="48"/>
        <v>TÜP</v>
      </c>
      <c r="T597" t="str">
        <f t="shared" si="49"/>
        <v>tup</v>
      </c>
    </row>
    <row r="598" spans="1:20" x14ac:dyDescent="0.25">
      <c r="A598" t="s">
        <v>1422</v>
      </c>
      <c r="B598">
        <v>832</v>
      </c>
      <c r="C598" t="s">
        <v>1904</v>
      </c>
      <c r="D598" t="s">
        <v>556</v>
      </c>
      <c r="E598">
        <v>35</v>
      </c>
      <c r="F598" t="s">
        <v>0</v>
      </c>
      <c r="G598" t="s">
        <v>1553</v>
      </c>
      <c r="H598" t="s">
        <v>1425</v>
      </c>
      <c r="I598" t="s">
        <v>1426</v>
      </c>
      <c r="J598" t="s">
        <v>1426</v>
      </c>
      <c r="O598">
        <v>865</v>
      </c>
      <c r="P598" t="str">
        <f t="shared" si="45"/>
        <v>SÜZGEÇ VİDALI</v>
      </c>
      <c r="Q598" s="1">
        <f t="shared" si="46"/>
        <v>60</v>
      </c>
      <c r="R598" t="str">
        <f t="shared" si="47"/>
        <v>TL</v>
      </c>
      <c r="S598" t="str">
        <f t="shared" si="48"/>
        <v>TÜP</v>
      </c>
      <c r="T598" t="str">
        <f t="shared" si="49"/>
        <v>tup</v>
      </c>
    </row>
    <row r="599" spans="1:20" x14ac:dyDescent="0.25">
      <c r="A599" t="s">
        <v>1422</v>
      </c>
      <c r="B599">
        <v>833</v>
      </c>
      <c r="C599" t="s">
        <v>1903</v>
      </c>
      <c r="D599" t="s">
        <v>557</v>
      </c>
      <c r="E599">
        <v>35</v>
      </c>
      <c r="F599" t="s">
        <v>0</v>
      </c>
      <c r="G599" t="s">
        <v>1553</v>
      </c>
      <c r="H599" t="s">
        <v>1425</v>
      </c>
      <c r="I599" t="s">
        <v>1426</v>
      </c>
      <c r="J599" t="s">
        <v>1426</v>
      </c>
      <c r="O599">
        <v>866</v>
      </c>
      <c r="P599" t="str">
        <f t="shared" si="45"/>
        <v>VİDALI SÜZGEÇ ORTA BOY</v>
      </c>
      <c r="Q599" s="1">
        <f t="shared" si="46"/>
        <v>70</v>
      </c>
      <c r="R599" t="str">
        <f t="shared" si="47"/>
        <v>TL</v>
      </c>
      <c r="S599" t="str">
        <f t="shared" si="48"/>
        <v>TÜP</v>
      </c>
      <c r="T599" t="str">
        <f t="shared" si="49"/>
        <v>tup</v>
      </c>
    </row>
    <row r="600" spans="1:20" x14ac:dyDescent="0.25">
      <c r="A600" t="s">
        <v>1422</v>
      </c>
      <c r="B600">
        <v>834</v>
      </c>
      <c r="C600" t="s">
        <v>1902</v>
      </c>
      <c r="D600" t="s">
        <v>558</v>
      </c>
      <c r="E600">
        <v>35</v>
      </c>
      <c r="F600" t="s">
        <v>0</v>
      </c>
      <c r="G600" t="s">
        <v>1553</v>
      </c>
      <c r="H600" t="s">
        <v>1425</v>
      </c>
      <c r="I600" t="s">
        <v>1426</v>
      </c>
      <c r="J600" t="s">
        <v>1426</v>
      </c>
      <c r="O600">
        <v>867</v>
      </c>
      <c r="P600" t="str">
        <f t="shared" si="45"/>
        <v>VOLKAN MUSLUK</v>
      </c>
      <c r="Q600" s="1">
        <f t="shared" si="46"/>
        <v>200</v>
      </c>
      <c r="R600" t="str">
        <f t="shared" si="47"/>
        <v>TL</v>
      </c>
      <c r="S600" t="str">
        <f t="shared" si="48"/>
        <v>TÜP</v>
      </c>
      <c r="T600" t="str">
        <f t="shared" si="49"/>
        <v>tup</v>
      </c>
    </row>
    <row r="601" spans="1:20" x14ac:dyDescent="0.25">
      <c r="A601" t="s">
        <v>1422</v>
      </c>
      <c r="B601">
        <v>835</v>
      </c>
      <c r="C601" t="s">
        <v>1901</v>
      </c>
      <c r="D601" t="s">
        <v>559</v>
      </c>
      <c r="E601">
        <v>750</v>
      </c>
      <c r="F601" t="s">
        <v>0</v>
      </c>
      <c r="G601" t="s">
        <v>1553</v>
      </c>
      <c r="H601" t="s">
        <v>1425</v>
      </c>
      <c r="I601" t="s">
        <v>1426</v>
      </c>
      <c r="J601" t="s">
        <v>1426</v>
      </c>
      <c r="O601">
        <v>871</v>
      </c>
      <c r="P601" t="str">
        <f t="shared" si="45"/>
        <v>LAV TAŞI 2 KG</v>
      </c>
      <c r="Q601" s="1">
        <f t="shared" si="46"/>
        <v>200</v>
      </c>
      <c r="R601" t="str">
        <f t="shared" si="47"/>
        <v>TL</v>
      </c>
      <c r="S601" t="str">
        <f t="shared" si="48"/>
        <v>TÜP</v>
      </c>
      <c r="T601" t="str">
        <f t="shared" si="49"/>
        <v>tup</v>
      </c>
    </row>
    <row r="602" spans="1:20" x14ac:dyDescent="0.25">
      <c r="A602" t="s">
        <v>1422</v>
      </c>
      <c r="B602">
        <v>836</v>
      </c>
      <c r="C602" t="s">
        <v>1899</v>
      </c>
      <c r="D602" t="s">
        <v>560</v>
      </c>
      <c r="E602">
        <v>650</v>
      </c>
      <c r="F602" t="s">
        <v>0</v>
      </c>
      <c r="G602" t="s">
        <v>1553</v>
      </c>
      <c r="H602" t="s">
        <v>1425</v>
      </c>
      <c r="I602" t="s">
        <v>1426</v>
      </c>
      <c r="J602" t="s">
        <v>1426</v>
      </c>
      <c r="O602">
        <v>872</v>
      </c>
      <c r="P602" t="str">
        <f t="shared" si="45"/>
        <v xml:space="preserve">10MM BEYAZ HORTUM </v>
      </c>
      <c r="Q602" s="1">
        <f t="shared" si="46"/>
        <v>60</v>
      </c>
      <c r="R602" t="str">
        <f t="shared" si="47"/>
        <v>TL</v>
      </c>
      <c r="S602" t="str">
        <f t="shared" si="48"/>
        <v>TÜP</v>
      </c>
      <c r="T602" t="str">
        <f t="shared" si="49"/>
        <v>tup</v>
      </c>
    </row>
    <row r="603" spans="1:20" x14ac:dyDescent="0.25">
      <c r="A603" t="s">
        <v>1422</v>
      </c>
      <c r="B603">
        <v>837</v>
      </c>
      <c r="C603" t="s">
        <v>2305</v>
      </c>
      <c r="D603" t="s">
        <v>866</v>
      </c>
      <c r="E603">
        <v>440</v>
      </c>
      <c r="F603" t="s">
        <v>0</v>
      </c>
      <c r="G603" t="s">
        <v>1553</v>
      </c>
      <c r="H603" t="s">
        <v>1425</v>
      </c>
      <c r="I603" t="s">
        <v>1426</v>
      </c>
      <c r="J603" t="s">
        <v>1426</v>
      </c>
      <c r="O603">
        <v>873</v>
      </c>
      <c r="P603" t="str">
        <f t="shared" si="45"/>
        <v xml:space="preserve">10MM SANAYİ HORTUM </v>
      </c>
      <c r="Q603" s="1">
        <f t="shared" si="46"/>
        <v>70</v>
      </c>
      <c r="R603" t="str">
        <f t="shared" si="47"/>
        <v>TL</v>
      </c>
      <c r="S603" t="str">
        <f t="shared" si="48"/>
        <v>TÜP</v>
      </c>
      <c r="T603" t="str">
        <f t="shared" si="49"/>
        <v>tup</v>
      </c>
    </row>
    <row r="604" spans="1:20" x14ac:dyDescent="0.25">
      <c r="A604" t="s">
        <v>1422</v>
      </c>
      <c r="B604">
        <v>838</v>
      </c>
      <c r="C604" t="s">
        <v>1861</v>
      </c>
      <c r="D604" t="s">
        <v>561</v>
      </c>
      <c r="E604">
        <v>5</v>
      </c>
      <c r="F604" t="s">
        <v>0</v>
      </c>
      <c r="G604" t="s">
        <v>1553</v>
      </c>
      <c r="H604" t="s">
        <v>1425</v>
      </c>
      <c r="I604" t="s">
        <v>1426</v>
      </c>
      <c r="J604" t="s">
        <v>1426</v>
      </c>
      <c r="O604">
        <v>874</v>
      </c>
      <c r="P604" t="str">
        <f t="shared" si="45"/>
        <v xml:space="preserve">10MM SARI HORTUM </v>
      </c>
      <c r="Q604" s="1">
        <f t="shared" si="46"/>
        <v>70</v>
      </c>
      <c r="R604" t="str">
        <f t="shared" si="47"/>
        <v>TL</v>
      </c>
      <c r="S604" t="str">
        <f t="shared" si="48"/>
        <v>TÜP</v>
      </c>
      <c r="T604" t="str">
        <f t="shared" si="49"/>
        <v>tup</v>
      </c>
    </row>
    <row r="605" spans="1:20" x14ac:dyDescent="0.25">
      <c r="A605" t="s">
        <v>1422</v>
      </c>
      <c r="B605">
        <v>839</v>
      </c>
      <c r="C605" t="s">
        <v>1860</v>
      </c>
      <c r="D605" t="s">
        <v>562</v>
      </c>
      <c r="E605">
        <v>15</v>
      </c>
      <c r="F605" t="s">
        <v>0</v>
      </c>
      <c r="G605" t="s">
        <v>1553</v>
      </c>
      <c r="H605" t="s">
        <v>1425</v>
      </c>
      <c r="I605" t="s">
        <v>1426</v>
      </c>
      <c r="J605" t="s">
        <v>1426</v>
      </c>
      <c r="O605">
        <v>875</v>
      </c>
      <c r="P605" t="str">
        <f t="shared" si="45"/>
        <v>8MM İKİZ KAYNAK HORTUMU</v>
      </c>
      <c r="Q605" s="1">
        <f t="shared" si="46"/>
        <v>140</v>
      </c>
      <c r="R605" t="str">
        <f t="shared" si="47"/>
        <v>TL</v>
      </c>
      <c r="S605" t="str">
        <f t="shared" si="48"/>
        <v>TÜP</v>
      </c>
      <c r="T605" t="str">
        <f t="shared" si="49"/>
        <v>tup</v>
      </c>
    </row>
    <row r="606" spans="1:20" x14ac:dyDescent="0.25">
      <c r="A606" t="s">
        <v>1422</v>
      </c>
      <c r="B606">
        <v>840</v>
      </c>
      <c r="C606" t="s">
        <v>1859</v>
      </c>
      <c r="D606" t="s">
        <v>563</v>
      </c>
      <c r="E606">
        <v>15</v>
      </c>
      <c r="F606" t="s">
        <v>0</v>
      </c>
      <c r="G606" t="s">
        <v>1553</v>
      </c>
      <c r="H606" t="s">
        <v>1425</v>
      </c>
      <c r="I606" t="s">
        <v>1426</v>
      </c>
      <c r="J606" t="s">
        <v>1426</v>
      </c>
      <c r="O606">
        <v>876</v>
      </c>
      <c r="P606" t="str">
        <f t="shared" si="45"/>
        <v>8MM MAVİ HORTUM</v>
      </c>
      <c r="Q606" s="1">
        <f t="shared" si="46"/>
        <v>50</v>
      </c>
      <c r="R606" t="str">
        <f t="shared" si="47"/>
        <v>TL</v>
      </c>
      <c r="S606" t="str">
        <f t="shared" si="48"/>
        <v>TÜP</v>
      </c>
      <c r="T606" t="str">
        <f t="shared" si="49"/>
        <v>tup</v>
      </c>
    </row>
    <row r="607" spans="1:20" x14ac:dyDescent="0.25">
      <c r="A607" t="s">
        <v>1422</v>
      </c>
      <c r="B607">
        <v>841</v>
      </c>
      <c r="C607" t="s">
        <v>1858</v>
      </c>
      <c r="D607" t="s">
        <v>564</v>
      </c>
      <c r="E607">
        <v>1</v>
      </c>
      <c r="F607" t="s">
        <v>0</v>
      </c>
      <c r="G607" t="s">
        <v>1553</v>
      </c>
      <c r="H607" t="s">
        <v>1425</v>
      </c>
      <c r="I607" t="s">
        <v>1426</v>
      </c>
      <c r="J607" t="s">
        <v>1426</v>
      </c>
      <c r="O607">
        <v>877</v>
      </c>
      <c r="P607" t="str">
        <f t="shared" si="45"/>
        <v>8MM SANAYİ/OKSİJEN HORTUM</v>
      </c>
      <c r="Q607" s="1">
        <f t="shared" si="46"/>
        <v>63</v>
      </c>
      <c r="R607" t="str">
        <f t="shared" si="47"/>
        <v>TL</v>
      </c>
      <c r="S607" t="str">
        <f t="shared" si="48"/>
        <v>TÜP</v>
      </c>
      <c r="T607" t="str">
        <f t="shared" si="49"/>
        <v>tup</v>
      </c>
    </row>
    <row r="608" spans="1:20" x14ac:dyDescent="0.25">
      <c r="A608" t="s">
        <v>1422</v>
      </c>
      <c r="B608">
        <v>842</v>
      </c>
      <c r="C608" t="s">
        <v>1856</v>
      </c>
      <c r="D608" t="s">
        <v>565</v>
      </c>
      <c r="E608">
        <v>200</v>
      </c>
      <c r="F608" t="s">
        <v>0</v>
      </c>
      <c r="G608" t="s">
        <v>1553</v>
      </c>
      <c r="H608" t="s">
        <v>1425</v>
      </c>
      <c r="I608" t="s">
        <v>1426</v>
      </c>
      <c r="J608" t="s">
        <v>1426</v>
      </c>
      <c r="O608">
        <v>878</v>
      </c>
      <c r="P608" t="str">
        <f t="shared" si="45"/>
        <v>8MM SARI HORTUM</v>
      </c>
      <c r="Q608" s="1">
        <f t="shared" si="46"/>
        <v>60</v>
      </c>
      <c r="R608" t="str">
        <f t="shared" si="47"/>
        <v>TL</v>
      </c>
      <c r="S608" t="str">
        <f t="shared" si="48"/>
        <v>TÜP</v>
      </c>
      <c r="T608" t="str">
        <f t="shared" si="49"/>
        <v>tup</v>
      </c>
    </row>
    <row r="609" spans="1:20" x14ac:dyDescent="0.25">
      <c r="A609" t="s">
        <v>1422</v>
      </c>
      <c r="B609">
        <v>843</v>
      </c>
      <c r="C609" t="s">
        <v>1855</v>
      </c>
      <c r="D609" t="s">
        <v>566</v>
      </c>
      <c r="E609">
        <v>210</v>
      </c>
      <c r="F609" t="s">
        <v>0</v>
      </c>
      <c r="G609" t="s">
        <v>1553</v>
      </c>
      <c r="H609" t="s">
        <v>1425</v>
      </c>
      <c r="I609" t="s">
        <v>1426</v>
      </c>
      <c r="J609" t="s">
        <v>1426</v>
      </c>
      <c r="O609">
        <v>879</v>
      </c>
      <c r="P609" t="str">
        <f t="shared" si="45"/>
        <v>9 MM MAVİ HORTUM</v>
      </c>
      <c r="Q609" s="1">
        <f t="shared" si="46"/>
        <v>38</v>
      </c>
      <c r="R609" t="str">
        <f t="shared" si="47"/>
        <v>TL</v>
      </c>
      <c r="S609" t="str">
        <f t="shared" si="48"/>
        <v>TÜP</v>
      </c>
      <c r="T609" t="str">
        <f t="shared" si="49"/>
        <v>tup</v>
      </c>
    </row>
    <row r="610" spans="1:20" x14ac:dyDescent="0.25">
      <c r="A610" t="s">
        <v>1422</v>
      </c>
      <c r="B610">
        <v>844</v>
      </c>
      <c r="C610" t="s">
        <v>1840</v>
      </c>
      <c r="D610" t="s">
        <v>567</v>
      </c>
      <c r="E610">
        <v>630</v>
      </c>
      <c r="F610" t="s">
        <v>0</v>
      </c>
      <c r="G610" t="s">
        <v>1553</v>
      </c>
      <c r="H610" t="s">
        <v>1425</v>
      </c>
      <c r="I610" t="s">
        <v>1426</v>
      </c>
      <c r="J610" t="s">
        <v>1426</v>
      </c>
      <c r="O610">
        <v>882</v>
      </c>
      <c r="P610" t="str">
        <f t="shared" si="45"/>
        <v>SİBOPLU CONTA</v>
      </c>
      <c r="Q610" s="1">
        <f t="shared" si="46"/>
        <v>4</v>
      </c>
      <c r="R610" t="str">
        <f t="shared" si="47"/>
        <v>TL</v>
      </c>
      <c r="S610" t="str">
        <f t="shared" si="48"/>
        <v>TÜP</v>
      </c>
      <c r="T610" t="str">
        <f t="shared" si="49"/>
        <v>tup</v>
      </c>
    </row>
    <row r="611" spans="1:20" x14ac:dyDescent="0.25">
      <c r="A611" t="s">
        <v>1422</v>
      </c>
      <c r="B611">
        <v>845</v>
      </c>
      <c r="C611" t="s">
        <v>1839</v>
      </c>
      <c r="D611" t="s">
        <v>568</v>
      </c>
      <c r="E611">
        <v>560</v>
      </c>
      <c r="F611" t="s">
        <v>0</v>
      </c>
      <c r="G611" t="s">
        <v>1553</v>
      </c>
      <c r="H611" t="s">
        <v>1425</v>
      </c>
      <c r="I611" t="s">
        <v>1426</v>
      </c>
      <c r="J611" t="s">
        <v>1426</v>
      </c>
      <c r="O611">
        <v>883</v>
      </c>
      <c r="P611" t="str">
        <f t="shared" si="45"/>
        <v>ARÇELİK ALİMİNYUM HAVUZ+SİYAH KAPAK</v>
      </c>
      <c r="Q611" s="1">
        <f t="shared" si="46"/>
        <v>550</v>
      </c>
      <c r="R611" t="str">
        <f t="shared" si="47"/>
        <v>TL</v>
      </c>
      <c r="S611" t="str">
        <f t="shared" si="48"/>
        <v>TÜP</v>
      </c>
      <c r="T611" t="str">
        <f t="shared" si="49"/>
        <v>tup</v>
      </c>
    </row>
    <row r="612" spans="1:20" x14ac:dyDescent="0.25">
      <c r="A612" t="s">
        <v>1422</v>
      </c>
      <c r="B612">
        <v>846</v>
      </c>
      <c r="C612" t="s">
        <v>1838</v>
      </c>
      <c r="D612" t="s">
        <v>569</v>
      </c>
      <c r="E612">
        <v>0</v>
      </c>
      <c r="F612" t="s">
        <v>0</v>
      </c>
      <c r="G612" t="s">
        <v>1553</v>
      </c>
      <c r="H612" t="s">
        <v>1425</v>
      </c>
      <c r="I612" t="s">
        <v>1426</v>
      </c>
      <c r="J612" t="s">
        <v>1426</v>
      </c>
      <c r="O612">
        <v>885</v>
      </c>
      <c r="P612" t="str">
        <f t="shared" si="45"/>
        <v>ARÇELİK SİYAH KAPAK TAKIM</v>
      </c>
      <c r="Q612" s="1">
        <f t="shared" si="46"/>
        <v>400</v>
      </c>
      <c r="R612" t="str">
        <f t="shared" si="47"/>
        <v>TL</v>
      </c>
      <c r="S612" t="str">
        <f t="shared" si="48"/>
        <v>TÜP</v>
      </c>
      <c r="T612" t="str">
        <f t="shared" si="49"/>
        <v>tup</v>
      </c>
    </row>
    <row r="613" spans="1:20" x14ac:dyDescent="0.25">
      <c r="A613" t="s">
        <v>1422</v>
      </c>
      <c r="B613">
        <v>847</v>
      </c>
      <c r="C613" t="s">
        <v>2281</v>
      </c>
      <c r="D613" t="s">
        <v>2282</v>
      </c>
      <c r="E613">
        <v>300</v>
      </c>
      <c r="F613" t="s">
        <v>0</v>
      </c>
      <c r="G613" t="s">
        <v>1553</v>
      </c>
      <c r="H613" t="s">
        <v>1425</v>
      </c>
      <c r="I613" t="s">
        <v>1426</v>
      </c>
      <c r="J613" t="s">
        <v>1426</v>
      </c>
      <c r="O613">
        <v>887</v>
      </c>
      <c r="P613" t="str">
        <f t="shared" si="45"/>
        <v>KAYSERİ ALİMİNYUM HAVUZ+SİYAH SAC KAPAK</v>
      </c>
      <c r="Q613" s="1">
        <f t="shared" si="46"/>
        <v>400</v>
      </c>
      <c r="R613" t="str">
        <f t="shared" si="47"/>
        <v>TL</v>
      </c>
      <c r="S613" t="str">
        <f t="shared" si="48"/>
        <v>TÜP</v>
      </c>
      <c r="T613" t="str">
        <f t="shared" si="49"/>
        <v>tup</v>
      </c>
    </row>
    <row r="614" spans="1:20" x14ac:dyDescent="0.25">
      <c r="A614" t="s">
        <v>1422</v>
      </c>
      <c r="B614">
        <v>848</v>
      </c>
      <c r="C614" t="s">
        <v>1800</v>
      </c>
      <c r="D614" t="s">
        <v>570</v>
      </c>
      <c r="E614">
        <v>0</v>
      </c>
      <c r="F614" t="s">
        <v>0</v>
      </c>
      <c r="G614" t="s">
        <v>1553</v>
      </c>
      <c r="H614" t="s">
        <v>1425</v>
      </c>
      <c r="I614" t="s">
        <v>1426</v>
      </c>
      <c r="J614" t="s">
        <v>1426</v>
      </c>
      <c r="O614">
        <v>890</v>
      </c>
      <c r="P614" t="str">
        <f t="shared" si="45"/>
        <v xml:space="preserve">KAYSERİ SAC KAPAK </v>
      </c>
      <c r="Q614" s="1">
        <f t="shared" si="46"/>
        <v>200</v>
      </c>
      <c r="R614" t="str">
        <f t="shared" si="47"/>
        <v>TL</v>
      </c>
      <c r="S614" t="str">
        <f t="shared" si="48"/>
        <v>TÜP</v>
      </c>
      <c r="T614" t="str">
        <f t="shared" si="49"/>
        <v>tup</v>
      </c>
    </row>
    <row r="615" spans="1:20" x14ac:dyDescent="0.25">
      <c r="A615" t="s">
        <v>1422</v>
      </c>
      <c r="B615">
        <v>849</v>
      </c>
      <c r="C615" t="s">
        <v>1799</v>
      </c>
      <c r="D615" t="s">
        <v>571</v>
      </c>
      <c r="E615">
        <v>275</v>
      </c>
      <c r="F615" t="s">
        <v>0</v>
      </c>
      <c r="G615" t="s">
        <v>1553</v>
      </c>
      <c r="H615" t="s">
        <v>1425</v>
      </c>
      <c r="I615" t="s">
        <v>1426</v>
      </c>
      <c r="J615" t="s">
        <v>1426</v>
      </c>
      <c r="O615">
        <v>1007</v>
      </c>
      <c r="P615" t="str">
        <f t="shared" si="45"/>
        <v>DÖNER OCAĞI KAPLANLI 3!LÜ GAZ EMNİYETLİ</v>
      </c>
      <c r="Q615" s="1">
        <f t="shared" si="46"/>
        <v>24900</v>
      </c>
      <c r="R615" t="str">
        <f t="shared" si="47"/>
        <v>TL</v>
      </c>
      <c r="S615" t="str">
        <f t="shared" si="48"/>
        <v>ENDÜSTRİYEL</v>
      </c>
      <c r="T615" t="str">
        <f t="shared" si="49"/>
        <v>endustriyel</v>
      </c>
    </row>
    <row r="616" spans="1:20" x14ac:dyDescent="0.25">
      <c r="A616" t="s">
        <v>1422</v>
      </c>
      <c r="B616">
        <v>850</v>
      </c>
      <c r="C616" t="s">
        <v>1798</v>
      </c>
      <c r="D616" t="s">
        <v>572</v>
      </c>
      <c r="E616">
        <v>275</v>
      </c>
      <c r="F616" t="s">
        <v>0</v>
      </c>
      <c r="G616" t="s">
        <v>1553</v>
      </c>
      <c r="H616" t="s">
        <v>1425</v>
      </c>
      <c r="I616" t="s">
        <v>1426</v>
      </c>
      <c r="J616" t="s">
        <v>1426</v>
      </c>
      <c r="O616">
        <v>1024</v>
      </c>
      <c r="P616" t="str">
        <f t="shared" si="45"/>
        <v>DÜDÜKLÜ LASTİĞİ 10-12</v>
      </c>
      <c r="Q616" s="1">
        <f t="shared" si="46"/>
        <v>240</v>
      </c>
      <c r="R616" t="str">
        <f t="shared" si="47"/>
        <v>TL</v>
      </c>
      <c r="S616" t="str">
        <f t="shared" si="48"/>
        <v>YEDEK PARÇA</v>
      </c>
      <c r="T616" t="str">
        <f t="shared" si="49"/>
        <v>diger</v>
      </c>
    </row>
    <row r="617" spans="1:20" x14ac:dyDescent="0.25">
      <c r="A617" t="s">
        <v>1422</v>
      </c>
      <c r="B617">
        <v>851</v>
      </c>
      <c r="C617" t="s">
        <v>1711</v>
      </c>
      <c r="D617" t="s">
        <v>573</v>
      </c>
      <c r="E617">
        <v>0</v>
      </c>
      <c r="F617" t="s">
        <v>0</v>
      </c>
      <c r="G617" t="s">
        <v>1553</v>
      </c>
      <c r="H617" t="s">
        <v>1425</v>
      </c>
      <c r="I617" t="s">
        <v>1426</v>
      </c>
      <c r="J617" t="s">
        <v>1426</v>
      </c>
      <c r="O617">
        <v>1026</v>
      </c>
      <c r="P617" t="str">
        <f t="shared" si="45"/>
        <v>DÜDÜKLÜ LASTİĞİ 5-6 / 7-8 SİYAH_BEYAZ</v>
      </c>
      <c r="Q617" s="1">
        <f t="shared" si="46"/>
        <v>170</v>
      </c>
      <c r="R617" t="str">
        <f t="shared" si="47"/>
        <v>TL</v>
      </c>
      <c r="S617" t="str">
        <f t="shared" si="48"/>
        <v>YEDEK PARÇA</v>
      </c>
      <c r="T617" t="str">
        <f t="shared" si="49"/>
        <v>diger</v>
      </c>
    </row>
    <row r="618" spans="1:20" x14ac:dyDescent="0.25">
      <c r="A618" t="s">
        <v>1422</v>
      </c>
      <c r="B618">
        <v>852</v>
      </c>
      <c r="C618" t="s">
        <v>1673</v>
      </c>
      <c r="D618" t="s">
        <v>574</v>
      </c>
      <c r="E618">
        <v>145</v>
      </c>
      <c r="F618" t="s">
        <v>0</v>
      </c>
      <c r="G618" t="s">
        <v>1553</v>
      </c>
      <c r="H618" t="s">
        <v>1425</v>
      </c>
      <c r="I618" t="s">
        <v>1426</v>
      </c>
      <c r="J618" t="s">
        <v>1426</v>
      </c>
      <c r="O618">
        <v>1030</v>
      </c>
      <c r="P618" t="str">
        <f t="shared" si="45"/>
        <v>FANTOM BORU</v>
      </c>
      <c r="Q618" s="1">
        <f t="shared" si="46"/>
        <v>130</v>
      </c>
      <c r="R618" t="str">
        <f t="shared" si="47"/>
        <v>TL</v>
      </c>
      <c r="S618" t="str">
        <f t="shared" si="48"/>
        <v>YEDEK PARÇA</v>
      </c>
      <c r="T618" t="str">
        <f t="shared" si="49"/>
        <v>diger</v>
      </c>
    </row>
    <row r="619" spans="1:20" x14ac:dyDescent="0.25">
      <c r="A619" t="s">
        <v>1422</v>
      </c>
      <c r="B619">
        <v>853</v>
      </c>
      <c r="C619" t="s">
        <v>1672</v>
      </c>
      <c r="D619" t="s">
        <v>575</v>
      </c>
      <c r="E619">
        <v>125</v>
      </c>
      <c r="F619" t="s">
        <v>0</v>
      </c>
      <c r="G619" t="s">
        <v>1553</v>
      </c>
      <c r="H619" t="s">
        <v>1425</v>
      </c>
      <c r="I619" t="s">
        <v>1426</v>
      </c>
      <c r="J619" t="s">
        <v>1426</v>
      </c>
      <c r="O619">
        <v>1031</v>
      </c>
      <c r="P619" t="str">
        <f t="shared" si="45"/>
        <v>FANTOM DEMİR BORU KALIN</v>
      </c>
      <c r="Q619" s="1">
        <f t="shared" si="46"/>
        <v>380</v>
      </c>
      <c r="R619" t="str">
        <f t="shared" si="47"/>
        <v>TL</v>
      </c>
      <c r="S619" t="str">
        <f t="shared" si="48"/>
        <v>YEDEK PARÇA</v>
      </c>
      <c r="T619" t="str">
        <f t="shared" si="49"/>
        <v>diger</v>
      </c>
    </row>
    <row r="620" spans="1:20" x14ac:dyDescent="0.25">
      <c r="A620" t="s">
        <v>1422</v>
      </c>
      <c r="B620">
        <v>854</v>
      </c>
      <c r="C620" t="s">
        <v>1671</v>
      </c>
      <c r="D620" t="s">
        <v>576</v>
      </c>
      <c r="E620">
        <v>130</v>
      </c>
      <c r="F620" t="s">
        <v>0</v>
      </c>
      <c r="G620" t="s">
        <v>1553</v>
      </c>
      <c r="H620" t="s">
        <v>1425</v>
      </c>
      <c r="I620" t="s">
        <v>1426</v>
      </c>
      <c r="J620" t="s">
        <v>1426</v>
      </c>
      <c r="O620">
        <v>1032</v>
      </c>
      <c r="P620" t="str">
        <f t="shared" si="45"/>
        <v>FANTOM EMİCİ KALIN</v>
      </c>
      <c r="Q620" s="1">
        <f t="shared" si="46"/>
        <v>250</v>
      </c>
      <c r="R620" t="str">
        <f t="shared" si="47"/>
        <v>TL</v>
      </c>
      <c r="S620" t="str">
        <f t="shared" si="48"/>
        <v>YEDEK PARÇA</v>
      </c>
      <c r="T620" t="str">
        <f t="shared" si="49"/>
        <v>diger</v>
      </c>
    </row>
    <row r="621" spans="1:20" x14ac:dyDescent="0.25">
      <c r="A621" t="s">
        <v>1422</v>
      </c>
      <c r="B621">
        <v>855</v>
      </c>
      <c r="C621" t="s">
        <v>1641</v>
      </c>
      <c r="D621" t="s">
        <v>577</v>
      </c>
      <c r="E621">
        <v>23</v>
      </c>
      <c r="F621" t="s">
        <v>0</v>
      </c>
      <c r="G621" t="s">
        <v>1553</v>
      </c>
      <c r="H621" t="s">
        <v>1425</v>
      </c>
      <c r="I621" t="s">
        <v>1426</v>
      </c>
      <c r="J621" t="s">
        <v>1426</v>
      </c>
      <c r="O621">
        <v>1033</v>
      </c>
      <c r="P621" t="str">
        <f t="shared" si="45"/>
        <v>FANTOM HORTUM KALIN</v>
      </c>
      <c r="Q621" s="1">
        <f t="shared" si="46"/>
        <v>180</v>
      </c>
      <c r="R621" t="str">
        <f t="shared" si="47"/>
        <v>TL</v>
      </c>
      <c r="S621" t="str">
        <f t="shared" si="48"/>
        <v>YEDEK PARÇA</v>
      </c>
      <c r="T621" t="str">
        <f t="shared" si="49"/>
        <v>diger</v>
      </c>
    </row>
    <row r="622" spans="1:20" x14ac:dyDescent="0.25">
      <c r="A622" t="s">
        <v>1422</v>
      </c>
      <c r="B622">
        <v>856</v>
      </c>
      <c r="C622" t="s">
        <v>2228</v>
      </c>
      <c r="D622" t="s">
        <v>578</v>
      </c>
      <c r="E622">
        <v>5250</v>
      </c>
      <c r="F622" t="s">
        <v>0</v>
      </c>
      <c r="G622" t="s">
        <v>1606</v>
      </c>
      <c r="H622" t="s">
        <v>1425</v>
      </c>
      <c r="I622" t="s">
        <v>1426</v>
      </c>
      <c r="J622" t="s">
        <v>1426</v>
      </c>
      <c r="O622">
        <v>1034</v>
      </c>
      <c r="P622" t="str">
        <f t="shared" si="45"/>
        <v>FANTOM YATIK HORTUM</v>
      </c>
      <c r="Q622" s="1">
        <f t="shared" si="46"/>
        <v>220</v>
      </c>
      <c r="R622" t="str">
        <f t="shared" si="47"/>
        <v>TL</v>
      </c>
      <c r="S622" t="str">
        <f t="shared" si="48"/>
        <v>YEDEK PARÇA</v>
      </c>
      <c r="T622" t="str">
        <f t="shared" si="49"/>
        <v>diger</v>
      </c>
    </row>
    <row r="623" spans="1:20" x14ac:dyDescent="0.25">
      <c r="A623" t="s">
        <v>1422</v>
      </c>
      <c r="B623">
        <v>857</v>
      </c>
      <c r="C623" t="s">
        <v>2169</v>
      </c>
      <c r="D623" t="s">
        <v>579</v>
      </c>
      <c r="E623">
        <v>4000</v>
      </c>
      <c r="F623" t="s">
        <v>0</v>
      </c>
      <c r="G623" t="s">
        <v>1606</v>
      </c>
      <c r="H623" t="s">
        <v>1425</v>
      </c>
      <c r="I623" t="s">
        <v>1426</v>
      </c>
      <c r="J623" t="s">
        <v>1426</v>
      </c>
      <c r="O623">
        <v>1038</v>
      </c>
      <c r="P623" t="str">
        <f t="shared" si="45"/>
        <v>KUTULU EMİCİ 32-35 MM</v>
      </c>
      <c r="Q623" s="1">
        <f t="shared" si="46"/>
        <v>280</v>
      </c>
      <c r="R623" t="str">
        <f t="shared" si="47"/>
        <v>TL</v>
      </c>
      <c r="S623" t="str">
        <f t="shared" si="48"/>
        <v>YEDEK PARÇA</v>
      </c>
      <c r="T623" t="str">
        <f t="shared" si="49"/>
        <v>diger</v>
      </c>
    </row>
    <row r="624" spans="1:20" x14ac:dyDescent="0.25">
      <c r="A624" t="s">
        <v>1422</v>
      </c>
      <c r="B624">
        <v>858</v>
      </c>
      <c r="C624" t="s">
        <v>2168</v>
      </c>
      <c r="D624" t="s">
        <v>580</v>
      </c>
      <c r="E624">
        <v>4800</v>
      </c>
      <c r="F624" t="s">
        <v>0</v>
      </c>
      <c r="G624" t="s">
        <v>1606</v>
      </c>
      <c r="H624" t="s">
        <v>1425</v>
      </c>
      <c r="I624" t="s">
        <v>1426</v>
      </c>
      <c r="J624" t="s">
        <v>1426</v>
      </c>
      <c r="O624">
        <v>1040</v>
      </c>
      <c r="P624" t="str">
        <f t="shared" si="45"/>
        <v>KÜÇÜLTÜCÜ-CEZVELİK</v>
      </c>
      <c r="Q624" s="1">
        <f t="shared" si="46"/>
        <v>70</v>
      </c>
      <c r="R624" t="str">
        <f t="shared" si="47"/>
        <v>TL</v>
      </c>
      <c r="S624" t="str">
        <f t="shared" si="48"/>
        <v>YEDEK PARÇA</v>
      </c>
      <c r="T624" t="str">
        <f t="shared" si="49"/>
        <v>diger</v>
      </c>
    </row>
    <row r="625" spans="1:20" x14ac:dyDescent="0.25">
      <c r="A625" t="s">
        <v>1422</v>
      </c>
      <c r="B625">
        <v>859</v>
      </c>
      <c r="C625" t="s">
        <v>2141</v>
      </c>
      <c r="D625" t="s">
        <v>581</v>
      </c>
      <c r="E625">
        <v>6750</v>
      </c>
      <c r="F625" t="s">
        <v>0</v>
      </c>
      <c r="G625" t="s">
        <v>1606</v>
      </c>
      <c r="H625" t="s">
        <v>1425</v>
      </c>
      <c r="I625" t="s">
        <v>1426</v>
      </c>
      <c r="J625" t="s">
        <v>1426</v>
      </c>
      <c r="O625">
        <v>1051</v>
      </c>
      <c r="P625" t="str">
        <f t="shared" si="45"/>
        <v>TABURE DEMİR ÇEMBERSİZ</v>
      </c>
      <c r="Q625" s="1">
        <f t="shared" si="46"/>
        <v>700</v>
      </c>
      <c r="R625" t="str">
        <f t="shared" si="47"/>
        <v>TL</v>
      </c>
      <c r="S625" t="str">
        <f t="shared" si="48"/>
        <v>YEDEK PARÇA</v>
      </c>
      <c r="T625" t="str">
        <f t="shared" ref="T625:T688" si="50">IF(S625="KEA","kea",IF(S625="MOBİLYA","mobilya",IF(S625="TÜP","tup",IF(S625="MASA-SAND-SEHPA-ZİGON","mssz",IF(S625="ENDÜSTRİYEL","endustriyel",IF(S625="YEDEK PARÇA","diger",""))))))</f>
        <v>diger</v>
      </c>
    </row>
    <row r="626" spans="1:20" x14ac:dyDescent="0.25">
      <c r="A626" t="s">
        <v>1422</v>
      </c>
      <c r="B626">
        <v>860</v>
      </c>
      <c r="C626" t="s">
        <v>2143</v>
      </c>
      <c r="D626" t="s">
        <v>582</v>
      </c>
      <c r="E626">
        <v>3000</v>
      </c>
      <c r="F626" t="s">
        <v>0</v>
      </c>
      <c r="G626" t="s">
        <v>1606</v>
      </c>
      <c r="H626" t="s">
        <v>1425</v>
      </c>
      <c r="I626" t="s">
        <v>1426</v>
      </c>
      <c r="J626" t="s">
        <v>1426</v>
      </c>
      <c r="O626">
        <v>1054</v>
      </c>
      <c r="P626" t="str">
        <f t="shared" ref="P626:P689" si="51">IFERROR(VLOOKUP(O626,$M:$N,2,0), VLOOKUP(O626,$B:$D,3,0))</f>
        <v>TÜPLÜ SAC EMAYE KAYSERİ</v>
      </c>
      <c r="Q626" s="1">
        <f t="shared" ref="Q626:Q689" si="52">VLOOKUP(O626,$B:$E,4,0)*2</f>
        <v>1500</v>
      </c>
      <c r="R626" t="str">
        <f t="shared" ref="R626:R689" si="53">VLOOKUP(O626,$B:$F,5,0)</f>
        <v>TL</v>
      </c>
      <c r="S626" t="str">
        <f t="shared" ref="S626:S689" si="54">VLOOKUP(O626,$B:$G,6,0)</f>
        <v>TÜP</v>
      </c>
      <c r="T626" t="str">
        <f t="shared" si="50"/>
        <v>tup</v>
      </c>
    </row>
    <row r="627" spans="1:20" x14ac:dyDescent="0.25">
      <c r="A627" t="s">
        <v>1422</v>
      </c>
      <c r="B627">
        <v>861</v>
      </c>
      <c r="C627" t="s">
        <v>2139</v>
      </c>
      <c r="D627" t="s">
        <v>583</v>
      </c>
      <c r="E627">
        <v>3750</v>
      </c>
      <c r="F627" t="s">
        <v>0</v>
      </c>
      <c r="G627" t="s">
        <v>1606</v>
      </c>
      <c r="H627" t="s">
        <v>1425</v>
      </c>
      <c r="I627" t="s">
        <v>1426</v>
      </c>
      <c r="J627" t="s">
        <v>1426</v>
      </c>
      <c r="O627">
        <v>1257</v>
      </c>
      <c r="P627" t="str">
        <f t="shared" si="51"/>
        <v>FANTOM BÜYÜK BEZ TORBA</v>
      </c>
      <c r="Q627" s="1">
        <f t="shared" si="52"/>
        <v>200</v>
      </c>
      <c r="R627" t="str">
        <f t="shared" si="53"/>
        <v>TL</v>
      </c>
      <c r="S627" t="str">
        <f t="shared" si="54"/>
        <v>YEDEK PARÇA</v>
      </c>
      <c r="T627" t="str">
        <f t="shared" si="50"/>
        <v>diger</v>
      </c>
    </row>
    <row r="628" spans="1:20" x14ac:dyDescent="0.25">
      <c r="A628" t="s">
        <v>1422</v>
      </c>
      <c r="B628">
        <v>862</v>
      </c>
      <c r="C628" t="s">
        <v>1600</v>
      </c>
      <c r="D628" t="s">
        <v>584</v>
      </c>
      <c r="E628">
        <v>40</v>
      </c>
      <c r="F628" t="s">
        <v>0</v>
      </c>
      <c r="G628" t="s">
        <v>1553</v>
      </c>
      <c r="H628" t="s">
        <v>1425</v>
      </c>
      <c r="I628" t="s">
        <v>1426</v>
      </c>
      <c r="J628" t="s">
        <v>1426</v>
      </c>
      <c r="O628">
        <v>1260</v>
      </c>
      <c r="P628" t="str">
        <f t="shared" si="51"/>
        <v>ROWENTA RB-50 KAĞIT TORBA</v>
      </c>
      <c r="Q628" s="1">
        <f t="shared" si="52"/>
        <v>250</v>
      </c>
      <c r="R628" t="str">
        <f t="shared" si="53"/>
        <v>TL</v>
      </c>
      <c r="S628" t="str">
        <f t="shared" si="54"/>
        <v>YEDEK PARÇA</v>
      </c>
      <c r="T628" t="str">
        <f t="shared" si="50"/>
        <v>diger</v>
      </c>
    </row>
    <row r="629" spans="1:20" x14ac:dyDescent="0.25">
      <c r="A629" t="s">
        <v>1422</v>
      </c>
      <c r="B629">
        <v>863</v>
      </c>
      <c r="C629" t="s">
        <v>1580</v>
      </c>
      <c r="D629" t="s">
        <v>585</v>
      </c>
      <c r="E629">
        <v>165</v>
      </c>
      <c r="F629" t="s">
        <v>0</v>
      </c>
      <c r="G629" t="s">
        <v>1553</v>
      </c>
      <c r="H629" t="s">
        <v>1425</v>
      </c>
      <c r="I629" t="s">
        <v>1426</v>
      </c>
      <c r="J629" t="s">
        <v>1426</v>
      </c>
      <c r="O629">
        <v>1266</v>
      </c>
      <c r="P629" t="str">
        <f t="shared" si="51"/>
        <v>KETTLE CONTİ CRYSTAL CK-305</v>
      </c>
      <c r="Q629" s="1">
        <f t="shared" si="52"/>
        <v>1200</v>
      </c>
      <c r="R629" t="str">
        <f t="shared" si="53"/>
        <v>TL</v>
      </c>
      <c r="S629" t="str">
        <f t="shared" si="54"/>
        <v>KEA</v>
      </c>
      <c r="T629" t="str">
        <f t="shared" si="50"/>
        <v>kea</v>
      </c>
    </row>
    <row r="630" spans="1:20" x14ac:dyDescent="0.25">
      <c r="A630" t="s">
        <v>1422</v>
      </c>
      <c r="B630">
        <v>864</v>
      </c>
      <c r="C630" t="s">
        <v>1579</v>
      </c>
      <c r="D630" t="s">
        <v>586</v>
      </c>
      <c r="E630">
        <v>175</v>
      </c>
      <c r="F630" t="s">
        <v>0</v>
      </c>
      <c r="G630" t="s">
        <v>1553</v>
      </c>
      <c r="H630" t="s">
        <v>1425</v>
      </c>
      <c r="I630" t="s">
        <v>1426</v>
      </c>
      <c r="J630" t="s">
        <v>1426</v>
      </c>
      <c r="O630">
        <v>1267</v>
      </c>
      <c r="P630" t="str">
        <f t="shared" si="51"/>
        <v>KETTLE CONTİ AQUA  RED CK-238</v>
      </c>
      <c r="Q630" s="1">
        <f t="shared" si="52"/>
        <v>1000</v>
      </c>
      <c r="R630" t="str">
        <f t="shared" si="53"/>
        <v>TL</v>
      </c>
      <c r="S630" t="str">
        <f t="shared" si="54"/>
        <v>KEA</v>
      </c>
      <c r="T630" t="str">
        <f t="shared" si="50"/>
        <v>kea</v>
      </c>
    </row>
    <row r="631" spans="1:20" x14ac:dyDescent="0.25">
      <c r="A631" t="s">
        <v>1422</v>
      </c>
      <c r="B631">
        <v>865</v>
      </c>
      <c r="C631" t="s">
        <v>1639</v>
      </c>
      <c r="D631" t="s">
        <v>587</v>
      </c>
      <c r="E631">
        <v>30</v>
      </c>
      <c r="F631" t="s">
        <v>0</v>
      </c>
      <c r="G631" t="s">
        <v>1553</v>
      </c>
      <c r="H631" t="s">
        <v>1425</v>
      </c>
      <c r="I631" t="s">
        <v>1426</v>
      </c>
      <c r="J631" t="s">
        <v>1426</v>
      </c>
      <c r="O631">
        <v>1268</v>
      </c>
      <c r="P631" t="str">
        <f t="shared" si="51"/>
        <v>KETTLE CONTI METALLICA CK-248</v>
      </c>
      <c r="Q631" s="1">
        <f t="shared" si="52"/>
        <v>900</v>
      </c>
      <c r="R631" t="str">
        <f t="shared" si="53"/>
        <v>TL</v>
      </c>
      <c r="S631" t="str">
        <f t="shared" si="54"/>
        <v>KEA</v>
      </c>
      <c r="T631" t="str">
        <f t="shared" si="50"/>
        <v>kea</v>
      </c>
    </row>
    <row r="632" spans="1:20" x14ac:dyDescent="0.25">
      <c r="A632" t="s">
        <v>1422</v>
      </c>
      <c r="B632">
        <v>866</v>
      </c>
      <c r="C632" t="s">
        <v>1558</v>
      </c>
      <c r="D632" t="s">
        <v>588</v>
      </c>
      <c r="E632">
        <v>35</v>
      </c>
      <c r="F632" t="s">
        <v>0</v>
      </c>
      <c r="G632" t="s">
        <v>1553</v>
      </c>
      <c r="H632" t="s">
        <v>1425</v>
      </c>
      <c r="I632" t="s">
        <v>1426</v>
      </c>
      <c r="J632" t="s">
        <v>1426</v>
      </c>
      <c r="O632">
        <v>1269</v>
      </c>
      <c r="P632" t="str">
        <f t="shared" si="51"/>
        <v>KETTLE CONTİ AQUA COLOR CK-238</v>
      </c>
      <c r="Q632" s="1">
        <f t="shared" si="52"/>
        <v>900</v>
      </c>
      <c r="R632" t="str">
        <f t="shared" si="53"/>
        <v>TL</v>
      </c>
      <c r="S632" t="str">
        <f t="shared" si="54"/>
        <v>KEA</v>
      </c>
      <c r="T632" t="str">
        <f t="shared" si="50"/>
        <v>kea</v>
      </c>
    </row>
    <row r="633" spans="1:20" x14ac:dyDescent="0.25">
      <c r="A633" t="s">
        <v>1422</v>
      </c>
      <c r="B633">
        <v>867</v>
      </c>
      <c r="C633" t="s">
        <v>1557</v>
      </c>
      <c r="D633" t="s">
        <v>589</v>
      </c>
      <c r="E633">
        <v>100</v>
      </c>
      <c r="F633" t="s">
        <v>0</v>
      </c>
      <c r="G633" t="s">
        <v>1553</v>
      </c>
      <c r="H633" t="s">
        <v>1425</v>
      </c>
      <c r="I633" t="s">
        <v>1426</v>
      </c>
      <c r="J633" t="s">
        <v>1426</v>
      </c>
      <c r="O633">
        <v>1272</v>
      </c>
      <c r="P633" t="str">
        <f t="shared" si="51"/>
        <v>ÇAY MAKİNESİ HOOK HK509</v>
      </c>
      <c r="Q633" s="1">
        <f t="shared" si="52"/>
        <v>3500</v>
      </c>
      <c r="R633" t="str">
        <f t="shared" si="53"/>
        <v>TL</v>
      </c>
      <c r="S633" t="str">
        <f t="shared" si="54"/>
        <v>KEA</v>
      </c>
      <c r="T633" t="str">
        <f t="shared" si="50"/>
        <v>kea</v>
      </c>
    </row>
    <row r="634" spans="1:20" x14ac:dyDescent="0.25">
      <c r="A634" t="s">
        <v>1422</v>
      </c>
      <c r="B634">
        <v>868</v>
      </c>
      <c r="C634" t="s">
        <v>1556</v>
      </c>
      <c r="D634" t="s">
        <v>590</v>
      </c>
      <c r="E634">
        <v>100</v>
      </c>
      <c r="F634" t="s">
        <v>0</v>
      </c>
      <c r="G634" t="s">
        <v>1553</v>
      </c>
      <c r="H634" t="s">
        <v>1425</v>
      </c>
      <c r="I634" t="s">
        <v>1426</v>
      </c>
      <c r="J634" t="s">
        <v>1426</v>
      </c>
      <c r="O634">
        <v>1274</v>
      </c>
      <c r="P634" t="str">
        <f t="shared" si="51"/>
        <v>ÇAY MAKİNESİ FANTOM CY 1500</v>
      </c>
      <c r="Q634" s="1">
        <f t="shared" si="52"/>
        <v>5000</v>
      </c>
      <c r="R634" t="str">
        <f t="shared" si="53"/>
        <v>TL</v>
      </c>
      <c r="S634" t="str">
        <f t="shared" si="54"/>
        <v>KEA</v>
      </c>
      <c r="T634" t="str">
        <f t="shared" si="50"/>
        <v>kea</v>
      </c>
    </row>
    <row r="635" spans="1:20" x14ac:dyDescent="0.25">
      <c r="A635" t="s">
        <v>1422</v>
      </c>
      <c r="B635">
        <v>869</v>
      </c>
      <c r="C635" t="s">
        <v>1555</v>
      </c>
      <c r="D635" t="s">
        <v>591</v>
      </c>
      <c r="E635">
        <v>100</v>
      </c>
      <c r="F635" t="s">
        <v>0</v>
      </c>
      <c r="G635" t="s">
        <v>1553</v>
      </c>
      <c r="H635" t="s">
        <v>1425</v>
      </c>
      <c r="I635" t="s">
        <v>1426</v>
      </c>
      <c r="J635" t="s">
        <v>1426</v>
      </c>
      <c r="O635">
        <v>1275</v>
      </c>
      <c r="P635" t="str">
        <f t="shared" si="51"/>
        <v>ÇAY MAKİNESİ RANGE RANGTEA</v>
      </c>
      <c r="Q635" s="1">
        <f t="shared" si="52"/>
        <v>5000</v>
      </c>
      <c r="R635" t="str">
        <f t="shared" si="53"/>
        <v>TL</v>
      </c>
      <c r="S635" t="str">
        <f t="shared" si="54"/>
        <v>KEA</v>
      </c>
      <c r="T635" t="str">
        <f t="shared" si="50"/>
        <v>kea</v>
      </c>
    </row>
    <row r="636" spans="1:20" x14ac:dyDescent="0.25">
      <c r="A636" t="s">
        <v>1422</v>
      </c>
      <c r="B636">
        <v>870</v>
      </c>
      <c r="C636" t="s">
        <v>1554</v>
      </c>
      <c r="D636" t="s">
        <v>592</v>
      </c>
      <c r="E636">
        <v>100</v>
      </c>
      <c r="F636" t="s">
        <v>0</v>
      </c>
      <c r="G636" t="s">
        <v>1553</v>
      </c>
      <c r="H636" t="s">
        <v>1425</v>
      </c>
      <c r="I636" t="s">
        <v>1426</v>
      </c>
      <c r="J636" t="s">
        <v>1426</v>
      </c>
      <c r="O636">
        <v>1277</v>
      </c>
      <c r="P636" t="str">
        <f t="shared" si="51"/>
        <v>FİLTRE KAHVE MAKİNESİ SUNNY MORNİNG</v>
      </c>
      <c r="Q636" s="1">
        <f t="shared" si="52"/>
        <v>2000</v>
      </c>
      <c r="R636" t="str">
        <f t="shared" si="53"/>
        <v>TL</v>
      </c>
      <c r="S636" t="str">
        <f t="shared" si="54"/>
        <v>KEA</v>
      </c>
      <c r="T636" t="str">
        <f t="shared" si="50"/>
        <v>kea</v>
      </c>
    </row>
    <row r="637" spans="1:20" x14ac:dyDescent="0.25">
      <c r="A637" t="s">
        <v>1422</v>
      </c>
      <c r="B637">
        <v>871</v>
      </c>
      <c r="C637" t="s">
        <v>2083</v>
      </c>
      <c r="D637" t="s">
        <v>593</v>
      </c>
      <c r="E637">
        <v>100</v>
      </c>
      <c r="F637" t="s">
        <v>0</v>
      </c>
      <c r="G637" t="s">
        <v>1553</v>
      </c>
      <c r="H637" t="s">
        <v>1425</v>
      </c>
      <c r="I637" t="s">
        <v>1426</v>
      </c>
      <c r="J637" t="s">
        <v>1426</v>
      </c>
      <c r="O637">
        <v>1280</v>
      </c>
      <c r="P637" t="str">
        <f t="shared" si="51"/>
        <v>SEMAVER ÇAKIR ÇELİK 80 BARDAK</v>
      </c>
      <c r="Q637" s="1">
        <f t="shared" si="52"/>
        <v>4500</v>
      </c>
      <c r="R637" t="str">
        <f t="shared" si="53"/>
        <v>TL</v>
      </c>
      <c r="S637" t="str">
        <f t="shared" si="54"/>
        <v>KEA</v>
      </c>
      <c r="T637" t="str">
        <f t="shared" si="50"/>
        <v>kea</v>
      </c>
    </row>
    <row r="638" spans="1:20" x14ac:dyDescent="0.25">
      <c r="A638" t="s">
        <v>1422</v>
      </c>
      <c r="B638">
        <v>872</v>
      </c>
      <c r="C638" t="s">
        <v>2358</v>
      </c>
      <c r="D638" t="s">
        <v>594</v>
      </c>
      <c r="E638">
        <v>30</v>
      </c>
      <c r="F638" t="s">
        <v>0</v>
      </c>
      <c r="G638" t="s">
        <v>1553</v>
      </c>
      <c r="H638" t="s">
        <v>2348</v>
      </c>
      <c r="I638" t="s">
        <v>1426</v>
      </c>
      <c r="J638" t="s">
        <v>1426</v>
      </c>
      <c r="O638">
        <v>1281</v>
      </c>
      <c r="P638" t="str">
        <f t="shared" si="51"/>
        <v>SEMAVER ÇAKIR ÇELİK 140 BARDAK</v>
      </c>
      <c r="Q638" s="1">
        <f t="shared" si="52"/>
        <v>5000</v>
      </c>
      <c r="R638" t="str">
        <f t="shared" si="53"/>
        <v>TL</v>
      </c>
      <c r="S638" t="str">
        <f t="shared" si="54"/>
        <v>KEA</v>
      </c>
      <c r="T638" t="str">
        <f t="shared" si="50"/>
        <v>kea</v>
      </c>
    </row>
    <row r="639" spans="1:20" x14ac:dyDescent="0.25">
      <c r="A639" t="s">
        <v>1422</v>
      </c>
      <c r="B639">
        <v>873</v>
      </c>
      <c r="C639" t="s">
        <v>2357</v>
      </c>
      <c r="D639" t="s">
        <v>595</v>
      </c>
      <c r="E639">
        <v>35</v>
      </c>
      <c r="F639" t="s">
        <v>0</v>
      </c>
      <c r="G639" t="s">
        <v>1553</v>
      </c>
      <c r="H639" t="s">
        <v>2348</v>
      </c>
      <c r="I639" t="s">
        <v>1426</v>
      </c>
      <c r="J639" t="s">
        <v>1426</v>
      </c>
      <c r="O639">
        <v>1282</v>
      </c>
      <c r="P639" t="str">
        <f t="shared" si="51"/>
        <v>SEMAVER ÇAKIR ÇELİK 50 BARDAK</v>
      </c>
      <c r="Q639" s="1">
        <f t="shared" si="52"/>
        <v>4000</v>
      </c>
      <c r="R639" t="str">
        <f t="shared" si="53"/>
        <v>TL</v>
      </c>
      <c r="S639" t="str">
        <f t="shared" si="54"/>
        <v>KEA</v>
      </c>
      <c r="T639" t="str">
        <f t="shared" si="50"/>
        <v>kea</v>
      </c>
    </row>
    <row r="640" spans="1:20" x14ac:dyDescent="0.25">
      <c r="A640" t="s">
        <v>1422</v>
      </c>
      <c r="B640">
        <v>874</v>
      </c>
      <c r="C640" t="s">
        <v>2356</v>
      </c>
      <c r="D640" t="s">
        <v>596</v>
      </c>
      <c r="E640">
        <v>35</v>
      </c>
      <c r="F640" t="s">
        <v>0</v>
      </c>
      <c r="G640" t="s">
        <v>1553</v>
      </c>
      <c r="H640" t="s">
        <v>2348</v>
      </c>
      <c r="I640" t="s">
        <v>1426</v>
      </c>
      <c r="J640" t="s">
        <v>1426</v>
      </c>
      <c r="O640">
        <v>1283</v>
      </c>
      <c r="P640" t="str">
        <f t="shared" si="51"/>
        <v>TELEVİZYON TELEFUNKEN 55" 55TU7560UA</v>
      </c>
      <c r="Q640" s="1">
        <f t="shared" si="52"/>
        <v>50000</v>
      </c>
      <c r="R640" t="str">
        <f t="shared" si="53"/>
        <v>TL</v>
      </c>
      <c r="S640" t="str">
        <f t="shared" si="54"/>
        <v>KEA</v>
      </c>
      <c r="T640" t="str">
        <f t="shared" si="50"/>
        <v>kea</v>
      </c>
    </row>
    <row r="641" spans="1:20" x14ac:dyDescent="0.25">
      <c r="A641" t="s">
        <v>1422</v>
      </c>
      <c r="B641">
        <v>875</v>
      </c>
      <c r="C641" t="s">
        <v>2353</v>
      </c>
      <c r="D641" t="s">
        <v>597</v>
      </c>
      <c r="E641">
        <v>70</v>
      </c>
      <c r="F641" t="s">
        <v>0</v>
      </c>
      <c r="G641" t="s">
        <v>1553</v>
      </c>
      <c r="H641" t="s">
        <v>2348</v>
      </c>
      <c r="I641" t="s">
        <v>1426</v>
      </c>
      <c r="J641" t="s">
        <v>1426</v>
      </c>
      <c r="O641">
        <v>1284</v>
      </c>
      <c r="P641" t="str">
        <f t="shared" si="51"/>
        <v>SÜPÜRGE FANTOM TECHNOVAC TR 8700</v>
      </c>
      <c r="Q641" s="1">
        <f t="shared" si="52"/>
        <v>12000</v>
      </c>
      <c r="R641" t="str">
        <f t="shared" si="53"/>
        <v>TL</v>
      </c>
      <c r="S641" t="str">
        <f t="shared" si="54"/>
        <v>KEA</v>
      </c>
      <c r="T641" t="str">
        <f t="shared" si="50"/>
        <v>kea</v>
      </c>
    </row>
    <row r="642" spans="1:20" x14ac:dyDescent="0.25">
      <c r="A642" t="s">
        <v>1422</v>
      </c>
      <c r="B642">
        <v>876</v>
      </c>
      <c r="C642" t="s">
        <v>2352</v>
      </c>
      <c r="D642" t="s">
        <v>598</v>
      </c>
      <c r="E642">
        <v>25</v>
      </c>
      <c r="F642" t="s">
        <v>0</v>
      </c>
      <c r="G642" t="s">
        <v>1553</v>
      </c>
      <c r="H642" t="s">
        <v>2348</v>
      </c>
      <c r="I642" t="s">
        <v>1426</v>
      </c>
      <c r="J642" t="s">
        <v>1426</v>
      </c>
      <c r="O642">
        <v>1285</v>
      </c>
      <c r="P642" t="str">
        <f t="shared" si="51"/>
        <v>SÜPÜRGE STİLEVS MAXTRON</v>
      </c>
      <c r="Q642" s="1">
        <f t="shared" si="52"/>
        <v>0</v>
      </c>
      <c r="R642" t="str">
        <f t="shared" si="53"/>
        <v>TL</v>
      </c>
      <c r="S642" t="str">
        <f t="shared" si="54"/>
        <v>KEA</v>
      </c>
      <c r="T642" t="str">
        <f t="shared" si="50"/>
        <v>kea</v>
      </c>
    </row>
    <row r="643" spans="1:20" x14ac:dyDescent="0.25">
      <c r="A643" t="s">
        <v>1422</v>
      </c>
      <c r="B643">
        <v>877</v>
      </c>
      <c r="C643" t="s">
        <v>2350</v>
      </c>
      <c r="D643" t="s">
        <v>2351</v>
      </c>
      <c r="E643">
        <v>31.5</v>
      </c>
      <c r="F643" t="s">
        <v>0</v>
      </c>
      <c r="G643" t="s">
        <v>1553</v>
      </c>
      <c r="H643" t="s">
        <v>2348</v>
      </c>
      <c r="I643" t="s">
        <v>1426</v>
      </c>
      <c r="J643" t="s">
        <v>1426</v>
      </c>
      <c r="O643">
        <v>1286</v>
      </c>
      <c r="P643" t="str">
        <f t="shared" si="51"/>
        <v>BASKÜL VOOG DİGİTAL ŞARJLI</v>
      </c>
      <c r="Q643" s="1">
        <f t="shared" si="52"/>
        <v>1000</v>
      </c>
      <c r="R643" t="str">
        <f t="shared" si="53"/>
        <v>TL</v>
      </c>
      <c r="S643" t="str">
        <f t="shared" si="54"/>
        <v>KEA</v>
      </c>
      <c r="T643" t="str">
        <f t="shared" si="50"/>
        <v>kea</v>
      </c>
    </row>
    <row r="644" spans="1:20" x14ac:dyDescent="0.25">
      <c r="A644" t="s">
        <v>1422</v>
      </c>
      <c r="B644">
        <v>878</v>
      </c>
      <c r="C644" t="s">
        <v>2349</v>
      </c>
      <c r="D644" t="s">
        <v>599</v>
      </c>
      <c r="E644">
        <v>30</v>
      </c>
      <c r="F644" t="s">
        <v>0</v>
      </c>
      <c r="G644" t="s">
        <v>1553</v>
      </c>
      <c r="H644" t="s">
        <v>2348</v>
      </c>
      <c r="I644" t="s">
        <v>1426</v>
      </c>
      <c r="J644" t="s">
        <v>1426</v>
      </c>
      <c r="O644">
        <v>1287</v>
      </c>
      <c r="P644" t="str">
        <f t="shared" si="51"/>
        <v>BASKÜL FAKİR HERCULES</v>
      </c>
      <c r="Q644" s="1">
        <f t="shared" si="52"/>
        <v>1200</v>
      </c>
      <c r="R644" t="str">
        <f t="shared" si="53"/>
        <v>TL</v>
      </c>
      <c r="S644" t="str">
        <f t="shared" si="54"/>
        <v>KEA</v>
      </c>
      <c r="T644" t="str">
        <f t="shared" si="50"/>
        <v>kea</v>
      </c>
    </row>
    <row r="645" spans="1:20" x14ac:dyDescent="0.25">
      <c r="A645" t="s">
        <v>1422</v>
      </c>
      <c r="B645">
        <v>879</v>
      </c>
      <c r="C645" t="s">
        <v>2347</v>
      </c>
      <c r="D645" t="s">
        <v>600</v>
      </c>
      <c r="E645">
        <v>19</v>
      </c>
      <c r="F645" t="s">
        <v>0</v>
      </c>
      <c r="G645" t="s">
        <v>1553</v>
      </c>
      <c r="H645" t="s">
        <v>2348</v>
      </c>
      <c r="I645" t="s">
        <v>1426</v>
      </c>
      <c r="J645" t="s">
        <v>1426</v>
      </c>
      <c r="O645">
        <v>1290</v>
      </c>
      <c r="P645" t="str">
        <f t="shared" si="51"/>
        <v>SAÇ KURUTMA MAKİNESİ FAKİR ADVANCE DRY PRO</v>
      </c>
      <c r="Q645" s="1">
        <f t="shared" si="52"/>
        <v>3100</v>
      </c>
      <c r="R645" t="str">
        <f t="shared" si="53"/>
        <v>TL</v>
      </c>
      <c r="S645" t="str">
        <f t="shared" si="54"/>
        <v>KEA</v>
      </c>
      <c r="T645" t="str">
        <f t="shared" si="50"/>
        <v>kea</v>
      </c>
    </row>
    <row r="646" spans="1:20" x14ac:dyDescent="0.25">
      <c r="A646" t="s">
        <v>1422</v>
      </c>
      <c r="B646">
        <v>880</v>
      </c>
      <c r="C646" t="s">
        <v>2255</v>
      </c>
      <c r="D646" t="s">
        <v>601</v>
      </c>
      <c r="E646">
        <v>500</v>
      </c>
      <c r="F646" t="s">
        <v>0</v>
      </c>
      <c r="G646" t="s">
        <v>1553</v>
      </c>
      <c r="H646" t="s">
        <v>1676</v>
      </c>
      <c r="I646" t="s">
        <v>1426</v>
      </c>
      <c r="J646" t="s">
        <v>1426</v>
      </c>
      <c r="O646">
        <v>1291</v>
      </c>
      <c r="P646" t="str">
        <f t="shared" si="51"/>
        <v>SAÇ KURUTMA MAKİNESİ FAKİR ROSELİNE</v>
      </c>
      <c r="Q646" s="1">
        <f t="shared" si="52"/>
        <v>2900</v>
      </c>
      <c r="R646" t="str">
        <f t="shared" si="53"/>
        <v>TL</v>
      </c>
      <c r="S646" t="str">
        <f t="shared" si="54"/>
        <v>KEA</v>
      </c>
      <c r="T646" t="str">
        <f t="shared" si="50"/>
        <v>kea</v>
      </c>
    </row>
    <row r="647" spans="1:20" x14ac:dyDescent="0.25">
      <c r="A647" t="s">
        <v>1422</v>
      </c>
      <c r="B647">
        <v>881</v>
      </c>
      <c r="C647" t="s">
        <v>2105</v>
      </c>
      <c r="D647" t="s">
        <v>602</v>
      </c>
      <c r="E647">
        <v>6.5</v>
      </c>
      <c r="F647" t="s">
        <v>0</v>
      </c>
      <c r="G647" t="s">
        <v>1553</v>
      </c>
      <c r="H647" t="s">
        <v>1676</v>
      </c>
      <c r="I647" t="s">
        <v>1426</v>
      </c>
      <c r="J647" t="s">
        <v>1426</v>
      </c>
      <c r="O647">
        <v>1292</v>
      </c>
      <c r="P647" t="str">
        <f t="shared" si="51"/>
        <v>SAÇ KURUTMA MAKİNESİ CONTİ COOL CHD-120</v>
      </c>
      <c r="Q647" s="1">
        <f t="shared" si="52"/>
        <v>1300</v>
      </c>
      <c r="R647" t="str">
        <f t="shared" si="53"/>
        <v>TL</v>
      </c>
      <c r="S647" t="str">
        <f t="shared" si="54"/>
        <v>KEA</v>
      </c>
      <c r="T647" t="str">
        <f t="shared" si="50"/>
        <v>kea</v>
      </c>
    </row>
    <row r="648" spans="1:20" x14ac:dyDescent="0.25">
      <c r="A648" t="s">
        <v>1422</v>
      </c>
      <c r="B648">
        <v>882</v>
      </c>
      <c r="C648" t="s">
        <v>1675</v>
      </c>
      <c r="D648" t="s">
        <v>603</v>
      </c>
      <c r="E648">
        <v>2</v>
      </c>
      <c r="F648" t="s">
        <v>0</v>
      </c>
      <c r="G648" t="s">
        <v>1553</v>
      </c>
      <c r="H648" t="s">
        <v>1676</v>
      </c>
      <c r="I648" t="s">
        <v>1426</v>
      </c>
      <c r="J648" t="s">
        <v>1426</v>
      </c>
      <c r="O648">
        <v>1293</v>
      </c>
      <c r="P648" t="str">
        <f t="shared" si="51"/>
        <v>BLENDER CONTİ ÇUBUK BLADER</v>
      </c>
      <c r="Q648" s="1">
        <f t="shared" si="52"/>
        <v>1700</v>
      </c>
      <c r="R648" t="str">
        <f t="shared" si="53"/>
        <v>TL</v>
      </c>
      <c r="S648" t="str">
        <f t="shared" si="54"/>
        <v>KEA</v>
      </c>
      <c r="T648" t="str">
        <f t="shared" si="50"/>
        <v>kea</v>
      </c>
    </row>
    <row r="649" spans="1:20" x14ac:dyDescent="0.25">
      <c r="A649" t="s">
        <v>1422</v>
      </c>
      <c r="B649">
        <v>883</v>
      </c>
      <c r="C649" t="s">
        <v>2326</v>
      </c>
      <c r="D649" t="s">
        <v>604</v>
      </c>
      <c r="E649">
        <v>275</v>
      </c>
      <c r="F649" t="s">
        <v>0</v>
      </c>
      <c r="G649" t="s">
        <v>1553</v>
      </c>
      <c r="H649" t="s">
        <v>1520</v>
      </c>
      <c r="I649" t="s">
        <v>1426</v>
      </c>
      <c r="J649" t="s">
        <v>1426</v>
      </c>
      <c r="O649">
        <v>1294</v>
      </c>
      <c r="P649" t="str">
        <f t="shared" si="51"/>
        <v>RONDO CONTİ QUICKMASTER CMD-305</v>
      </c>
      <c r="Q649" s="1">
        <f t="shared" si="52"/>
        <v>1700</v>
      </c>
      <c r="R649" t="str">
        <f t="shared" si="53"/>
        <v>TL</v>
      </c>
      <c r="S649" t="str">
        <f t="shared" si="54"/>
        <v>KEA</v>
      </c>
      <c r="T649" t="str">
        <f t="shared" si="50"/>
        <v>kea</v>
      </c>
    </row>
    <row r="650" spans="1:20" x14ac:dyDescent="0.25">
      <c r="A650" t="s">
        <v>1422</v>
      </c>
      <c r="B650">
        <v>884</v>
      </c>
      <c r="C650" t="s">
        <v>2324</v>
      </c>
      <c r="D650" t="s">
        <v>605</v>
      </c>
      <c r="E650">
        <v>35</v>
      </c>
      <c r="F650" t="s">
        <v>0</v>
      </c>
      <c r="G650" t="s">
        <v>1553</v>
      </c>
      <c r="H650" t="s">
        <v>1520</v>
      </c>
      <c r="I650" t="s">
        <v>1426</v>
      </c>
      <c r="J650" t="s">
        <v>1426</v>
      </c>
      <c r="O650">
        <v>1295</v>
      </c>
      <c r="P650" t="str">
        <f t="shared" si="51"/>
        <v>BLENDER SET SAREX ELİTE MİX</v>
      </c>
      <c r="Q650" s="1">
        <f t="shared" si="52"/>
        <v>3100</v>
      </c>
      <c r="R650" t="str">
        <f t="shared" si="53"/>
        <v>TL</v>
      </c>
      <c r="S650" t="str">
        <f t="shared" si="54"/>
        <v>KEA</v>
      </c>
      <c r="T650" t="str">
        <f t="shared" si="50"/>
        <v>kea</v>
      </c>
    </row>
    <row r="651" spans="1:20" x14ac:dyDescent="0.25">
      <c r="A651" t="s">
        <v>1422</v>
      </c>
      <c r="B651">
        <v>885</v>
      </c>
      <c r="C651" t="s">
        <v>2323</v>
      </c>
      <c r="D651" t="s">
        <v>606</v>
      </c>
      <c r="E651">
        <v>200</v>
      </c>
      <c r="F651" t="s">
        <v>0</v>
      </c>
      <c r="G651" t="s">
        <v>1553</v>
      </c>
      <c r="H651" t="s">
        <v>1520</v>
      </c>
      <c r="I651" t="s">
        <v>1426</v>
      </c>
      <c r="J651" t="s">
        <v>1426</v>
      </c>
      <c r="O651">
        <v>1297</v>
      </c>
      <c r="P651" t="str">
        <f t="shared" si="51"/>
        <v>SAÇ KURUTMA MAKİNESİ AWOX FOLD</v>
      </c>
      <c r="Q651" s="1">
        <f t="shared" si="52"/>
        <v>500</v>
      </c>
      <c r="R651" t="str">
        <f t="shared" si="53"/>
        <v>TL</v>
      </c>
      <c r="S651" t="str">
        <f t="shared" si="54"/>
        <v>KEA</v>
      </c>
      <c r="T651" t="str">
        <f t="shared" si="50"/>
        <v>kea</v>
      </c>
    </row>
    <row r="652" spans="1:20" x14ac:dyDescent="0.25">
      <c r="A652" t="s">
        <v>1422</v>
      </c>
      <c r="B652">
        <v>886</v>
      </c>
      <c r="C652" t="s">
        <v>2279</v>
      </c>
      <c r="D652" t="s">
        <v>607</v>
      </c>
      <c r="E652">
        <v>35</v>
      </c>
      <c r="F652" t="s">
        <v>0</v>
      </c>
      <c r="G652" t="s">
        <v>1553</v>
      </c>
      <c r="H652" t="s">
        <v>1520</v>
      </c>
      <c r="I652" t="s">
        <v>1426</v>
      </c>
      <c r="J652" t="s">
        <v>1426</v>
      </c>
      <c r="O652">
        <v>1300</v>
      </c>
      <c r="P652" t="str">
        <f t="shared" si="51"/>
        <v>KATMER SACI OPTİMUM TERMOSTATLI</v>
      </c>
      <c r="Q652" s="1">
        <f t="shared" si="52"/>
        <v>0</v>
      </c>
      <c r="R652" t="str">
        <f t="shared" si="53"/>
        <v>TL</v>
      </c>
      <c r="S652" t="str">
        <f t="shared" si="54"/>
        <v>KEA</v>
      </c>
      <c r="T652" t="str">
        <f t="shared" si="50"/>
        <v>kea</v>
      </c>
    </row>
    <row r="653" spans="1:20" x14ac:dyDescent="0.25">
      <c r="A653" t="s">
        <v>1422</v>
      </c>
      <c r="B653">
        <v>887</v>
      </c>
      <c r="C653" t="s">
        <v>2128</v>
      </c>
      <c r="D653" t="s">
        <v>608</v>
      </c>
      <c r="E653">
        <v>200</v>
      </c>
      <c r="F653" t="s">
        <v>0</v>
      </c>
      <c r="G653" t="s">
        <v>1553</v>
      </c>
      <c r="H653" t="s">
        <v>1520</v>
      </c>
      <c r="I653" t="s">
        <v>1426</v>
      </c>
      <c r="J653" t="s">
        <v>1426</v>
      </c>
      <c r="O653">
        <v>1301</v>
      </c>
      <c r="P653" t="str">
        <f t="shared" si="51"/>
        <v>FIRIN MİNİSAN MİDİ 40 LT</v>
      </c>
      <c r="Q653" s="1">
        <f t="shared" si="52"/>
        <v>4000</v>
      </c>
      <c r="R653" t="str">
        <f t="shared" si="53"/>
        <v>TL</v>
      </c>
      <c r="S653" t="str">
        <f t="shared" si="54"/>
        <v>KEA</v>
      </c>
      <c r="T653" t="str">
        <f t="shared" si="50"/>
        <v>kea</v>
      </c>
    </row>
    <row r="654" spans="1:20" x14ac:dyDescent="0.25">
      <c r="A654" t="s">
        <v>1422</v>
      </c>
      <c r="B654">
        <v>888</v>
      </c>
      <c r="C654" t="s">
        <v>2126</v>
      </c>
      <c r="D654" t="s">
        <v>609</v>
      </c>
      <c r="E654">
        <v>35</v>
      </c>
      <c r="F654" t="s">
        <v>0</v>
      </c>
      <c r="G654" t="s">
        <v>1553</v>
      </c>
      <c r="H654" t="s">
        <v>1520</v>
      </c>
      <c r="I654" t="s">
        <v>1426</v>
      </c>
      <c r="J654" t="s">
        <v>1426</v>
      </c>
      <c r="O654">
        <v>1302</v>
      </c>
      <c r="P654" t="str">
        <f t="shared" si="51"/>
        <v>FIRIN ERENDEMİR YUVARLAK GF-1001</v>
      </c>
      <c r="Q654" s="1">
        <f t="shared" si="52"/>
        <v>4000</v>
      </c>
      <c r="R654" t="str">
        <f t="shared" si="53"/>
        <v>TL</v>
      </c>
      <c r="S654" t="str">
        <f t="shared" si="54"/>
        <v>KEA</v>
      </c>
      <c r="T654" t="str">
        <f t="shared" si="50"/>
        <v>kea</v>
      </c>
    </row>
    <row r="655" spans="1:20" x14ac:dyDescent="0.25">
      <c r="A655" t="s">
        <v>1422</v>
      </c>
      <c r="B655">
        <v>889</v>
      </c>
      <c r="C655" t="s">
        <v>2125</v>
      </c>
      <c r="D655" t="s">
        <v>610</v>
      </c>
      <c r="E655">
        <v>35</v>
      </c>
      <c r="F655" t="s">
        <v>0</v>
      </c>
      <c r="G655" t="s">
        <v>1553</v>
      </c>
      <c r="H655" t="s">
        <v>1520</v>
      </c>
      <c r="I655" t="s">
        <v>1426</v>
      </c>
      <c r="J655" t="s">
        <v>1426</v>
      </c>
      <c r="O655">
        <v>1303</v>
      </c>
      <c r="P655" t="str">
        <f t="shared" si="51"/>
        <v>FIRIN MİNİSAN AYŞEGÜL DAVUL</v>
      </c>
      <c r="Q655" s="1">
        <f t="shared" si="52"/>
        <v>4500</v>
      </c>
      <c r="R655" t="str">
        <f t="shared" si="53"/>
        <v>TL</v>
      </c>
      <c r="S655" t="str">
        <f t="shared" si="54"/>
        <v>KEA</v>
      </c>
      <c r="T655" t="str">
        <f t="shared" si="50"/>
        <v>kea</v>
      </c>
    </row>
    <row r="656" spans="1:20" x14ac:dyDescent="0.25">
      <c r="A656" t="s">
        <v>1422</v>
      </c>
      <c r="B656">
        <v>890</v>
      </c>
      <c r="C656" t="s">
        <v>2124</v>
      </c>
      <c r="D656" t="s">
        <v>611</v>
      </c>
      <c r="E656">
        <v>100</v>
      </c>
      <c r="F656" t="s">
        <v>0</v>
      </c>
      <c r="G656" t="s">
        <v>1553</v>
      </c>
      <c r="H656" t="s">
        <v>1520</v>
      </c>
      <c r="I656" t="s">
        <v>1426</v>
      </c>
      <c r="J656" t="s">
        <v>1426</v>
      </c>
      <c r="O656">
        <v>1304</v>
      </c>
      <c r="P656" t="str">
        <f t="shared" si="51"/>
        <v>SEBİL AWOX ROSSO ARITMALI</v>
      </c>
      <c r="Q656" s="1">
        <f t="shared" si="52"/>
        <v>14850</v>
      </c>
      <c r="R656" t="str">
        <f t="shared" si="53"/>
        <v>TL</v>
      </c>
      <c r="S656" t="str">
        <f t="shared" si="54"/>
        <v>KEA</v>
      </c>
      <c r="T656" t="str">
        <f t="shared" si="50"/>
        <v>kea</v>
      </c>
    </row>
    <row r="657" spans="1:20" x14ac:dyDescent="0.25">
      <c r="A657" t="s">
        <v>1422</v>
      </c>
      <c r="B657">
        <v>1007</v>
      </c>
      <c r="C657" t="s">
        <v>2230</v>
      </c>
      <c r="D657" t="s">
        <v>612</v>
      </c>
      <c r="E657">
        <v>12450</v>
      </c>
      <c r="F657" t="s">
        <v>0</v>
      </c>
      <c r="G657" t="s">
        <v>1606</v>
      </c>
      <c r="H657" t="s">
        <v>1425</v>
      </c>
      <c r="I657" t="s">
        <v>1426</v>
      </c>
      <c r="J657" t="s">
        <v>1426</v>
      </c>
      <c r="O657">
        <v>1305</v>
      </c>
      <c r="P657" t="str">
        <f t="shared" si="51"/>
        <v>SEBİL AWOX SNOW DÜZ</v>
      </c>
      <c r="Q657" s="1">
        <f t="shared" si="52"/>
        <v>14000</v>
      </c>
      <c r="R657" t="str">
        <f t="shared" si="53"/>
        <v>TL</v>
      </c>
      <c r="S657" t="str">
        <f t="shared" si="54"/>
        <v>KEA</v>
      </c>
      <c r="T657" t="str">
        <f t="shared" si="50"/>
        <v>kea</v>
      </c>
    </row>
    <row r="658" spans="1:20" x14ac:dyDescent="0.25">
      <c r="A658" t="s">
        <v>1422</v>
      </c>
      <c r="B658">
        <v>1024</v>
      </c>
      <c r="C658" t="s">
        <v>2227</v>
      </c>
      <c r="D658" t="s">
        <v>613</v>
      </c>
      <c r="E658">
        <v>120</v>
      </c>
      <c r="F658" t="s">
        <v>0</v>
      </c>
      <c r="G658" t="s">
        <v>1626</v>
      </c>
      <c r="H658" t="s">
        <v>1425</v>
      </c>
      <c r="I658" t="s">
        <v>1426</v>
      </c>
      <c r="J658" t="s">
        <v>1426</v>
      </c>
      <c r="O658">
        <v>1306</v>
      </c>
      <c r="P658" t="str">
        <f t="shared" si="51"/>
        <v>KAZAN KAPLANLI 20'LİK ELEKTRİKLİ TÜPLÜ</v>
      </c>
      <c r="Q658" s="1">
        <f t="shared" si="52"/>
        <v>17300</v>
      </c>
      <c r="R658" t="str">
        <f t="shared" si="53"/>
        <v>TL</v>
      </c>
      <c r="S658" t="str">
        <f t="shared" si="54"/>
        <v>ENDÜSTRİYEL</v>
      </c>
      <c r="T658" t="str">
        <f t="shared" si="50"/>
        <v>endustriyel</v>
      </c>
    </row>
    <row r="659" spans="1:20" x14ac:dyDescent="0.25">
      <c r="A659" t="s">
        <v>1422</v>
      </c>
      <c r="B659">
        <v>1025</v>
      </c>
      <c r="C659" t="s">
        <v>2226</v>
      </c>
      <c r="D659" t="s">
        <v>614</v>
      </c>
      <c r="E659">
        <v>85</v>
      </c>
      <c r="F659" t="s">
        <v>0</v>
      </c>
      <c r="G659" t="s">
        <v>1626</v>
      </c>
      <c r="H659" t="s">
        <v>1425</v>
      </c>
      <c r="I659" t="s">
        <v>1426</v>
      </c>
      <c r="J659" t="s">
        <v>1426</v>
      </c>
      <c r="O659">
        <v>1307</v>
      </c>
      <c r="P659" t="str">
        <f t="shared" si="51"/>
        <v>KAZAN KAPLANLI 30'LİK ELEKTRİKLİ TÜPLÜ</v>
      </c>
      <c r="Q659" s="1">
        <f t="shared" si="52"/>
        <v>18500</v>
      </c>
      <c r="R659" t="str">
        <f t="shared" si="53"/>
        <v>TL</v>
      </c>
      <c r="S659" t="str">
        <f t="shared" si="54"/>
        <v>ENDÜSTRİYEL</v>
      </c>
      <c r="T659" t="str">
        <f t="shared" si="50"/>
        <v>endustriyel</v>
      </c>
    </row>
    <row r="660" spans="1:20" x14ac:dyDescent="0.25">
      <c r="A660" t="s">
        <v>1422</v>
      </c>
      <c r="B660">
        <v>1026</v>
      </c>
      <c r="C660" t="s">
        <v>2225</v>
      </c>
      <c r="D660" t="s">
        <v>615</v>
      </c>
      <c r="E660">
        <v>85</v>
      </c>
      <c r="F660" t="s">
        <v>0</v>
      </c>
      <c r="G660" t="s">
        <v>1626</v>
      </c>
      <c r="H660" t="s">
        <v>1425</v>
      </c>
      <c r="I660" t="s">
        <v>1426</v>
      </c>
      <c r="J660" t="s">
        <v>1426</v>
      </c>
      <c r="O660">
        <v>1308</v>
      </c>
      <c r="P660" t="str">
        <f t="shared" si="51"/>
        <v>KAZAN KAPLANLI 40'LİK ELEKTRİKLİ TÜPLÜ</v>
      </c>
      <c r="Q660" s="1">
        <f t="shared" si="52"/>
        <v>18800</v>
      </c>
      <c r="R660" t="str">
        <f t="shared" si="53"/>
        <v>TL</v>
      </c>
      <c r="S660" t="str">
        <f t="shared" si="54"/>
        <v>ENDÜSTRİYEL</v>
      </c>
      <c r="T660" t="str">
        <f t="shared" si="50"/>
        <v>endustriyel</v>
      </c>
    </row>
    <row r="661" spans="1:20" x14ac:dyDescent="0.25">
      <c r="A661" t="s">
        <v>1422</v>
      </c>
      <c r="B661">
        <v>1027</v>
      </c>
      <c r="C661" t="s">
        <v>2224</v>
      </c>
      <c r="D661" t="s">
        <v>616</v>
      </c>
      <c r="E661">
        <v>85</v>
      </c>
      <c r="F661" t="s">
        <v>0</v>
      </c>
      <c r="G661" t="s">
        <v>1626</v>
      </c>
      <c r="H661" t="s">
        <v>1425</v>
      </c>
      <c r="I661" t="s">
        <v>1426</v>
      </c>
      <c r="J661" t="s">
        <v>1426</v>
      </c>
      <c r="O661">
        <v>1310</v>
      </c>
      <c r="P661" t="str">
        <f t="shared" si="51"/>
        <v>ASKI APARATI MERTTUĞ 42"</v>
      </c>
      <c r="Q661" s="1">
        <f t="shared" si="52"/>
        <v>0</v>
      </c>
      <c r="R661" t="str">
        <f t="shared" si="53"/>
        <v>TL</v>
      </c>
      <c r="S661" t="str">
        <f t="shared" si="54"/>
        <v>KEA</v>
      </c>
      <c r="T661" t="str">
        <f t="shared" si="50"/>
        <v>kea</v>
      </c>
    </row>
    <row r="662" spans="1:20" x14ac:dyDescent="0.25">
      <c r="A662" t="s">
        <v>1422</v>
      </c>
      <c r="B662">
        <v>1028</v>
      </c>
      <c r="C662" t="s">
        <v>2223</v>
      </c>
      <c r="D662" t="s">
        <v>617</v>
      </c>
      <c r="E662">
        <v>85</v>
      </c>
      <c r="F662" t="s">
        <v>0</v>
      </c>
      <c r="G662" t="s">
        <v>1626</v>
      </c>
      <c r="H662" t="s">
        <v>1425</v>
      </c>
      <c r="I662" t="s">
        <v>1426</v>
      </c>
      <c r="J662" t="s">
        <v>1426</v>
      </c>
      <c r="O662">
        <v>1312</v>
      </c>
      <c r="P662" t="str">
        <f t="shared" si="51"/>
        <v>TV SEHPASI 140 CM PRMT</v>
      </c>
      <c r="Q662" s="1">
        <f t="shared" si="52"/>
        <v>6000</v>
      </c>
      <c r="R662" t="str">
        <f t="shared" si="53"/>
        <v>TL</v>
      </c>
      <c r="S662" t="str">
        <f t="shared" si="54"/>
        <v>MOBİLYA</v>
      </c>
      <c r="T662" t="str">
        <f t="shared" si="50"/>
        <v>mobilya</v>
      </c>
    </row>
    <row r="663" spans="1:20" x14ac:dyDescent="0.25">
      <c r="A663" t="s">
        <v>1422</v>
      </c>
      <c r="B663">
        <v>1029</v>
      </c>
      <c r="C663" t="s">
        <v>2222</v>
      </c>
      <c r="D663" t="s">
        <v>618</v>
      </c>
      <c r="E663">
        <v>85</v>
      </c>
      <c r="F663" t="s">
        <v>0</v>
      </c>
      <c r="G663" t="s">
        <v>1626</v>
      </c>
      <c r="H663" t="s">
        <v>1425</v>
      </c>
      <c r="I663" t="s">
        <v>1426</v>
      </c>
      <c r="J663" t="s">
        <v>1426</v>
      </c>
      <c r="O663">
        <v>1316</v>
      </c>
      <c r="P663" t="str">
        <f t="shared" si="51"/>
        <v>MASA MDF KELEBEK EFES</v>
      </c>
      <c r="Q663" s="1">
        <f t="shared" si="52"/>
        <v>7000</v>
      </c>
      <c r="R663" t="str">
        <f t="shared" si="53"/>
        <v>TL</v>
      </c>
      <c r="S663" t="str">
        <f t="shared" si="54"/>
        <v>MASA-SAND-SEHPA-ZİGON</v>
      </c>
      <c r="T663" t="str">
        <f t="shared" si="50"/>
        <v>mssz</v>
      </c>
    </row>
    <row r="664" spans="1:20" x14ac:dyDescent="0.25">
      <c r="A664" t="s">
        <v>1422</v>
      </c>
      <c r="B664">
        <v>1030</v>
      </c>
      <c r="C664" t="s">
        <v>2208</v>
      </c>
      <c r="D664" t="s">
        <v>619</v>
      </c>
      <c r="E664">
        <v>65</v>
      </c>
      <c r="F664" t="s">
        <v>0</v>
      </c>
      <c r="G664" t="s">
        <v>1626</v>
      </c>
      <c r="H664" t="s">
        <v>1425</v>
      </c>
      <c r="I664" t="s">
        <v>1426</v>
      </c>
      <c r="J664" t="s">
        <v>1426</v>
      </c>
      <c r="O664">
        <v>1317</v>
      </c>
      <c r="P664" t="str">
        <f t="shared" si="51"/>
        <v>ŞOFBEN YILDIRAY MUSLUK ÜSTÜ</v>
      </c>
      <c r="Q664" s="1">
        <f t="shared" si="52"/>
        <v>0</v>
      </c>
      <c r="R664" t="str">
        <f t="shared" si="53"/>
        <v>TL</v>
      </c>
      <c r="S664" t="str">
        <f t="shared" si="54"/>
        <v>KEA</v>
      </c>
      <c r="T664" t="str">
        <f t="shared" si="50"/>
        <v>kea</v>
      </c>
    </row>
    <row r="665" spans="1:20" x14ac:dyDescent="0.25">
      <c r="A665" t="s">
        <v>1422</v>
      </c>
      <c r="B665">
        <v>1031</v>
      </c>
      <c r="C665" t="s">
        <v>2206</v>
      </c>
      <c r="D665" t="s">
        <v>620</v>
      </c>
      <c r="E665">
        <v>190</v>
      </c>
      <c r="F665" t="s">
        <v>0</v>
      </c>
      <c r="G665" t="s">
        <v>1626</v>
      </c>
      <c r="H665" t="s">
        <v>1425</v>
      </c>
      <c r="I665" t="s">
        <v>1426</v>
      </c>
      <c r="J665" t="s">
        <v>1426</v>
      </c>
      <c r="O665">
        <v>1318</v>
      </c>
      <c r="P665" t="str">
        <f t="shared" si="51"/>
        <v>REDÜKSİYON HORTUM GİRİŞLİ</v>
      </c>
      <c r="Q665" s="1">
        <f t="shared" si="52"/>
        <v>500</v>
      </c>
      <c r="R665" t="str">
        <f t="shared" si="53"/>
        <v>TL</v>
      </c>
      <c r="S665" t="str">
        <f t="shared" si="54"/>
        <v>TÜP</v>
      </c>
      <c r="T665" t="str">
        <f t="shared" si="50"/>
        <v>tup</v>
      </c>
    </row>
    <row r="666" spans="1:20" x14ac:dyDescent="0.25">
      <c r="A666" t="s">
        <v>1422</v>
      </c>
      <c r="B666">
        <v>1032</v>
      </c>
      <c r="C666" t="s">
        <v>2205</v>
      </c>
      <c r="D666" t="s">
        <v>621</v>
      </c>
      <c r="E666">
        <v>125</v>
      </c>
      <c r="F666" t="s">
        <v>0</v>
      </c>
      <c r="G666" t="s">
        <v>1626</v>
      </c>
      <c r="H666" t="s">
        <v>1425</v>
      </c>
      <c r="I666" t="s">
        <v>1426</v>
      </c>
      <c r="J666" t="s">
        <v>1426</v>
      </c>
      <c r="O666">
        <v>1320</v>
      </c>
      <c r="P666" t="str">
        <f t="shared" si="51"/>
        <v>ORTA SEHPA CAMLI 60*100 ERALYA</v>
      </c>
      <c r="Q666" s="1">
        <f t="shared" si="52"/>
        <v>3800</v>
      </c>
      <c r="R666" t="str">
        <f t="shared" si="53"/>
        <v>TL</v>
      </c>
      <c r="S666" t="str">
        <f t="shared" si="54"/>
        <v>MASA-SAND-SEHPA-ZİGON</v>
      </c>
      <c r="T666" t="str">
        <f t="shared" si="50"/>
        <v>mssz</v>
      </c>
    </row>
    <row r="667" spans="1:20" x14ac:dyDescent="0.25">
      <c r="A667" t="s">
        <v>1422</v>
      </c>
      <c r="B667">
        <v>1033</v>
      </c>
      <c r="C667" t="s">
        <v>2204</v>
      </c>
      <c r="D667" t="s">
        <v>622</v>
      </c>
      <c r="E667">
        <v>90</v>
      </c>
      <c r="F667" t="s">
        <v>0</v>
      </c>
      <c r="G667" t="s">
        <v>1626</v>
      </c>
      <c r="H667" t="s">
        <v>1425</v>
      </c>
      <c r="I667" t="s">
        <v>1426</v>
      </c>
      <c r="J667" t="s">
        <v>1426</v>
      </c>
      <c r="O667">
        <v>1321</v>
      </c>
      <c r="P667" t="str">
        <f t="shared" si="51"/>
        <v>ÇALIŞMA MASASI (İST)</v>
      </c>
      <c r="Q667" s="1">
        <f t="shared" si="52"/>
        <v>5000</v>
      </c>
      <c r="R667" t="str">
        <f t="shared" si="53"/>
        <v>TL</v>
      </c>
      <c r="S667" t="str">
        <f t="shared" si="54"/>
        <v>MOBİLYA</v>
      </c>
      <c r="T667" t="str">
        <f t="shared" si="50"/>
        <v>mobilya</v>
      </c>
    </row>
    <row r="668" spans="1:20" x14ac:dyDescent="0.25">
      <c r="A668" t="s">
        <v>1422</v>
      </c>
      <c r="B668">
        <v>1034</v>
      </c>
      <c r="C668" t="s">
        <v>2203</v>
      </c>
      <c r="D668" t="s">
        <v>623</v>
      </c>
      <c r="E668">
        <v>110</v>
      </c>
      <c r="F668" t="s">
        <v>0</v>
      </c>
      <c r="G668" t="s">
        <v>1626</v>
      </c>
      <c r="H668" t="s">
        <v>1425</v>
      </c>
      <c r="I668" t="s">
        <v>1426</v>
      </c>
      <c r="J668" t="s">
        <v>1426</v>
      </c>
      <c r="O668">
        <v>1322</v>
      </c>
      <c r="P668" t="str">
        <f t="shared" si="51"/>
        <v>TV SEHPASI YEKTA MAGNUM AYTAŞI</v>
      </c>
      <c r="Q668" s="1">
        <f t="shared" si="52"/>
        <v>8000</v>
      </c>
      <c r="R668" t="str">
        <f t="shared" si="53"/>
        <v>TL</v>
      </c>
      <c r="S668" t="str">
        <f t="shared" si="54"/>
        <v>MOBİLYA</v>
      </c>
      <c r="T668" t="str">
        <f t="shared" si="50"/>
        <v>mobilya</v>
      </c>
    </row>
    <row r="669" spans="1:20" x14ac:dyDescent="0.25">
      <c r="A669" t="s">
        <v>1422</v>
      </c>
      <c r="B669">
        <v>1038</v>
      </c>
      <c r="C669" t="s">
        <v>2088</v>
      </c>
      <c r="D669" t="s">
        <v>624</v>
      </c>
      <c r="E669">
        <v>140</v>
      </c>
      <c r="F669" t="s">
        <v>0</v>
      </c>
      <c r="G669" t="s">
        <v>1626</v>
      </c>
      <c r="H669" t="s">
        <v>1425</v>
      </c>
      <c r="I669" t="s">
        <v>1426</v>
      </c>
      <c r="J669" t="s">
        <v>1426</v>
      </c>
      <c r="O669">
        <v>1323</v>
      </c>
      <c r="P669" t="str">
        <f t="shared" si="51"/>
        <v>ÇAY SETİ PUF PAPATYA</v>
      </c>
      <c r="Q669" s="1">
        <f t="shared" si="52"/>
        <v>0</v>
      </c>
      <c r="R669" t="str">
        <f t="shared" si="53"/>
        <v>TL</v>
      </c>
      <c r="S669" t="str">
        <f t="shared" si="54"/>
        <v>MOBİLYA</v>
      </c>
      <c r="T669" t="str">
        <f t="shared" si="50"/>
        <v>mobilya</v>
      </c>
    </row>
    <row r="670" spans="1:20" x14ac:dyDescent="0.25">
      <c r="A670" t="s">
        <v>1422</v>
      </c>
      <c r="B670">
        <v>1039</v>
      </c>
      <c r="C670" t="s">
        <v>2087</v>
      </c>
      <c r="D670" t="s">
        <v>625</v>
      </c>
      <c r="E670">
        <v>140</v>
      </c>
      <c r="F670" t="s">
        <v>0</v>
      </c>
      <c r="G670" t="s">
        <v>1626</v>
      </c>
      <c r="H670" t="s">
        <v>1425</v>
      </c>
      <c r="I670" t="s">
        <v>1426</v>
      </c>
      <c r="J670" t="s">
        <v>1426</v>
      </c>
      <c r="O670">
        <v>1324</v>
      </c>
      <c r="P670" t="str">
        <f t="shared" si="51"/>
        <v>VOLKAN YUVARLAK</v>
      </c>
      <c r="Q670" s="1">
        <f t="shared" si="52"/>
        <v>1700</v>
      </c>
      <c r="R670" t="str">
        <f t="shared" si="53"/>
        <v>TL</v>
      </c>
      <c r="S670" t="str">
        <f t="shared" si="54"/>
        <v>TÜP</v>
      </c>
      <c r="T670" t="str">
        <f t="shared" si="50"/>
        <v>tup</v>
      </c>
    </row>
    <row r="671" spans="1:20" x14ac:dyDescent="0.25">
      <c r="A671" t="s">
        <v>1422</v>
      </c>
      <c r="B671">
        <v>1040</v>
      </c>
      <c r="C671" t="s">
        <v>2086</v>
      </c>
      <c r="D671" t="s">
        <v>626</v>
      </c>
      <c r="E671">
        <v>35</v>
      </c>
      <c r="F671" t="s">
        <v>0</v>
      </c>
      <c r="G671" t="s">
        <v>1626</v>
      </c>
      <c r="H671" t="s">
        <v>1425</v>
      </c>
      <c r="I671" t="s">
        <v>1426</v>
      </c>
      <c r="J671" t="s">
        <v>1426</v>
      </c>
      <c r="O671">
        <v>1325</v>
      </c>
      <c r="P671" t="str">
        <f t="shared" si="51"/>
        <v>RANZA İKİ KATLI</v>
      </c>
      <c r="Q671" s="1">
        <f t="shared" si="52"/>
        <v>9000</v>
      </c>
      <c r="R671" t="str">
        <f t="shared" si="53"/>
        <v>TL</v>
      </c>
      <c r="S671" t="str">
        <f t="shared" si="54"/>
        <v>KEA</v>
      </c>
      <c r="T671" t="str">
        <f t="shared" si="50"/>
        <v>kea</v>
      </c>
    </row>
    <row r="672" spans="1:20" x14ac:dyDescent="0.25">
      <c r="A672" t="s">
        <v>1422</v>
      </c>
      <c r="B672">
        <v>1051</v>
      </c>
      <c r="C672" t="s">
        <v>1625</v>
      </c>
      <c r="D672" t="s">
        <v>627</v>
      </c>
      <c r="E672">
        <v>350</v>
      </c>
      <c r="F672" t="s">
        <v>0</v>
      </c>
      <c r="G672" t="s">
        <v>1626</v>
      </c>
      <c r="H672" t="s">
        <v>1425</v>
      </c>
      <c r="I672" t="s">
        <v>1426</v>
      </c>
      <c r="J672" t="s">
        <v>1426</v>
      </c>
      <c r="O672">
        <v>1326</v>
      </c>
      <c r="P672" t="str">
        <f t="shared" si="51"/>
        <v>LOKANTA OCAĞI KAPLANLI 2 Lİ GAZ EM. UZUN LPG</v>
      </c>
      <c r="Q672" s="1">
        <f t="shared" si="52"/>
        <v>27360</v>
      </c>
      <c r="R672" t="str">
        <f t="shared" si="53"/>
        <v>TL</v>
      </c>
      <c r="S672" t="str">
        <f t="shared" si="54"/>
        <v>ENDÜSTRİYEL</v>
      </c>
      <c r="T672" t="str">
        <f t="shared" si="50"/>
        <v>endustriyel</v>
      </c>
    </row>
    <row r="673" spans="1:20" x14ac:dyDescent="0.25">
      <c r="A673" t="s">
        <v>1422</v>
      </c>
      <c r="B673">
        <v>1054</v>
      </c>
      <c r="C673" t="s">
        <v>1599</v>
      </c>
      <c r="D673" t="s">
        <v>628</v>
      </c>
      <c r="E673">
        <v>750</v>
      </c>
      <c r="F673" t="s">
        <v>0</v>
      </c>
      <c r="G673" t="s">
        <v>1553</v>
      </c>
      <c r="H673" t="s">
        <v>1425</v>
      </c>
      <c r="I673" t="s">
        <v>1426</v>
      </c>
      <c r="J673" t="s">
        <v>1426</v>
      </c>
      <c r="O673">
        <v>1327</v>
      </c>
      <c r="P673" t="str">
        <f t="shared" si="51"/>
        <v>LOKANTA OCAĞI KAPLANLI 2 Lİ GAZ EM. KISA LPG</v>
      </c>
      <c r="Q673" s="1">
        <f t="shared" si="52"/>
        <v>24000</v>
      </c>
      <c r="R673" t="str">
        <f t="shared" si="53"/>
        <v>TL</v>
      </c>
      <c r="S673" t="str">
        <f t="shared" si="54"/>
        <v>ENDÜSTRİYEL</v>
      </c>
      <c r="T673" t="str">
        <f t="shared" si="50"/>
        <v>endustriyel</v>
      </c>
    </row>
    <row r="674" spans="1:20" x14ac:dyDescent="0.25">
      <c r="A674" t="s">
        <v>1422</v>
      </c>
      <c r="B674">
        <v>1257</v>
      </c>
      <c r="C674" t="s">
        <v>2207</v>
      </c>
      <c r="D674" t="s">
        <v>629</v>
      </c>
      <c r="E674">
        <v>100</v>
      </c>
      <c r="F674" t="s">
        <v>0</v>
      </c>
      <c r="G674" t="s">
        <v>1626</v>
      </c>
      <c r="H674" t="s">
        <v>1676</v>
      </c>
      <c r="I674" t="s">
        <v>1426</v>
      </c>
      <c r="J674" t="s">
        <v>1426</v>
      </c>
      <c r="O674">
        <v>1328</v>
      </c>
      <c r="P674" t="str">
        <f t="shared" si="51"/>
        <v>LOKANTA OCAĞI KAPLANLI 3 LÜ KISA GAZ EM. DG</v>
      </c>
      <c r="Q674" s="1">
        <f t="shared" si="52"/>
        <v>39200</v>
      </c>
      <c r="R674" t="str">
        <f t="shared" si="53"/>
        <v>TL</v>
      </c>
      <c r="S674" t="str">
        <f t="shared" si="54"/>
        <v>ENDÜSTRİYEL</v>
      </c>
      <c r="T674" t="str">
        <f t="shared" si="50"/>
        <v>endustriyel</v>
      </c>
    </row>
    <row r="675" spans="1:20" x14ac:dyDescent="0.25">
      <c r="A675" t="s">
        <v>1422</v>
      </c>
      <c r="B675">
        <v>1260</v>
      </c>
      <c r="C675" t="s">
        <v>1830</v>
      </c>
      <c r="D675" t="s">
        <v>630</v>
      </c>
      <c r="E675">
        <v>125</v>
      </c>
      <c r="F675" t="s">
        <v>0</v>
      </c>
      <c r="G675" t="s">
        <v>1626</v>
      </c>
      <c r="H675" t="s">
        <v>1676</v>
      </c>
      <c r="I675" t="s">
        <v>1426</v>
      </c>
      <c r="J675" t="s">
        <v>1426</v>
      </c>
      <c r="O675">
        <v>1329</v>
      </c>
      <c r="P675" t="str">
        <f t="shared" si="51"/>
        <v>TV SEHPASI CANIPEK</v>
      </c>
      <c r="Q675" s="1">
        <f t="shared" si="52"/>
        <v>3500</v>
      </c>
      <c r="R675" t="str">
        <f t="shared" si="53"/>
        <v>TL</v>
      </c>
      <c r="S675" t="str">
        <f t="shared" si="54"/>
        <v>MOBİLYA</v>
      </c>
      <c r="T675" t="str">
        <f t="shared" si="50"/>
        <v>mobilya</v>
      </c>
    </row>
    <row r="676" spans="1:20" x14ac:dyDescent="0.25">
      <c r="A676" t="s">
        <v>1422</v>
      </c>
      <c r="B676">
        <v>1266</v>
      </c>
      <c r="C676" t="s">
        <v>2099</v>
      </c>
      <c r="D676" t="s">
        <v>631</v>
      </c>
      <c r="E676">
        <v>600</v>
      </c>
      <c r="F676" t="s">
        <v>0</v>
      </c>
      <c r="G676" t="s">
        <v>1525</v>
      </c>
      <c r="H676" t="s">
        <v>1425</v>
      </c>
      <c r="I676" t="s">
        <v>1426</v>
      </c>
      <c r="J676" t="s">
        <v>1426</v>
      </c>
      <c r="O676">
        <v>1330</v>
      </c>
      <c r="P676" t="str">
        <f t="shared" si="51"/>
        <v>SANDALYE KARE GOLD JR KREM</v>
      </c>
      <c r="Q676" s="1">
        <f t="shared" si="52"/>
        <v>3000</v>
      </c>
      <c r="R676" t="str">
        <f t="shared" si="53"/>
        <v>TL</v>
      </c>
      <c r="S676" t="str">
        <f t="shared" si="54"/>
        <v>MASA-SAND-SEHPA-ZİGON</v>
      </c>
      <c r="T676" t="str">
        <f t="shared" si="50"/>
        <v>mssz</v>
      </c>
    </row>
    <row r="677" spans="1:20" x14ac:dyDescent="0.25">
      <c r="A677" t="s">
        <v>1422</v>
      </c>
      <c r="B677">
        <v>1267</v>
      </c>
      <c r="C677" t="s">
        <v>2102</v>
      </c>
      <c r="D677" t="s">
        <v>632</v>
      </c>
      <c r="E677">
        <v>500</v>
      </c>
      <c r="F677" t="s">
        <v>0</v>
      </c>
      <c r="G677" t="s">
        <v>1525</v>
      </c>
      <c r="H677" t="s">
        <v>1425</v>
      </c>
      <c r="I677" t="s">
        <v>1426</v>
      </c>
      <c r="J677" t="s">
        <v>1426</v>
      </c>
      <c r="O677">
        <v>1331</v>
      </c>
      <c r="P677" t="str">
        <f t="shared" si="51"/>
        <v>SANDALYE KARE GOLD EKİNCİLER</v>
      </c>
      <c r="Q677" s="1">
        <f t="shared" si="52"/>
        <v>3000</v>
      </c>
      <c r="R677" t="str">
        <f t="shared" si="53"/>
        <v>TL</v>
      </c>
      <c r="S677" t="str">
        <f t="shared" si="54"/>
        <v>MASA-SAND-SEHPA-ZİGON</v>
      </c>
      <c r="T677" t="str">
        <f t="shared" si="50"/>
        <v>mssz</v>
      </c>
    </row>
    <row r="678" spans="1:20" x14ac:dyDescent="0.25">
      <c r="A678" t="s">
        <v>1422</v>
      </c>
      <c r="B678">
        <v>1268</v>
      </c>
      <c r="C678" t="s">
        <v>2096</v>
      </c>
      <c r="D678" t="s">
        <v>633</v>
      </c>
      <c r="E678">
        <v>450</v>
      </c>
      <c r="F678" t="s">
        <v>0</v>
      </c>
      <c r="G678" t="s">
        <v>1525</v>
      </c>
      <c r="H678" t="s">
        <v>1425</v>
      </c>
      <c r="I678" t="s">
        <v>1426</v>
      </c>
      <c r="J678" t="s">
        <v>1426</v>
      </c>
      <c r="O678">
        <v>1332</v>
      </c>
      <c r="P678" t="str">
        <f t="shared" si="51"/>
        <v>SANDALYE FORUM</v>
      </c>
      <c r="Q678" s="1">
        <f t="shared" si="52"/>
        <v>2100</v>
      </c>
      <c r="R678" t="str">
        <f t="shared" si="53"/>
        <v>TL</v>
      </c>
      <c r="S678" t="str">
        <f t="shared" si="54"/>
        <v>MASA-SAND-SEHPA-ZİGON</v>
      </c>
      <c r="T678" t="str">
        <f t="shared" si="50"/>
        <v>mssz</v>
      </c>
    </row>
    <row r="679" spans="1:20" x14ac:dyDescent="0.25">
      <c r="A679" t="s">
        <v>1422</v>
      </c>
      <c r="B679">
        <v>1269</v>
      </c>
      <c r="C679" t="s">
        <v>2101</v>
      </c>
      <c r="D679" t="s">
        <v>634</v>
      </c>
      <c r="E679">
        <v>450</v>
      </c>
      <c r="F679" t="s">
        <v>0</v>
      </c>
      <c r="G679" t="s">
        <v>1525</v>
      </c>
      <c r="H679" t="s">
        <v>1425</v>
      </c>
      <c r="I679" t="s">
        <v>1426</v>
      </c>
      <c r="J679" t="s">
        <v>1426</v>
      </c>
      <c r="O679">
        <v>1333</v>
      </c>
      <c r="P679" t="str">
        <f t="shared" si="51"/>
        <v>LÜKS GÖMLEĞİ KARTUŞLU İÇİN NURGAZ</v>
      </c>
      <c r="Q679" s="1">
        <f t="shared" si="52"/>
        <v>50</v>
      </c>
      <c r="R679" t="str">
        <f t="shared" si="53"/>
        <v>TL</v>
      </c>
      <c r="S679" t="str">
        <f t="shared" si="54"/>
        <v>TÜP</v>
      </c>
      <c r="T679" t="str">
        <f t="shared" si="50"/>
        <v>tup</v>
      </c>
    </row>
    <row r="680" spans="1:20" x14ac:dyDescent="0.25">
      <c r="A680" t="s">
        <v>1422</v>
      </c>
      <c r="B680">
        <v>1272</v>
      </c>
      <c r="C680" t="s">
        <v>2274</v>
      </c>
      <c r="D680" t="s">
        <v>635</v>
      </c>
      <c r="E680">
        <v>1750</v>
      </c>
      <c r="F680" t="s">
        <v>0</v>
      </c>
      <c r="G680" t="s">
        <v>1525</v>
      </c>
      <c r="H680" t="s">
        <v>1425</v>
      </c>
      <c r="I680" t="s">
        <v>1426</v>
      </c>
      <c r="J680" t="s">
        <v>1426</v>
      </c>
      <c r="O680">
        <v>1335</v>
      </c>
      <c r="P680" t="str">
        <f t="shared" si="51"/>
        <v>ORGAZ 190 GR KAMP LÜKS</v>
      </c>
      <c r="Q680" s="1">
        <f t="shared" si="52"/>
        <v>970</v>
      </c>
      <c r="R680" t="str">
        <f t="shared" si="53"/>
        <v>TL</v>
      </c>
      <c r="S680" t="str">
        <f t="shared" si="54"/>
        <v>TÜP</v>
      </c>
      <c r="T680" t="str">
        <f t="shared" si="50"/>
        <v>tup</v>
      </c>
    </row>
    <row r="681" spans="1:20" x14ac:dyDescent="0.25">
      <c r="A681" t="s">
        <v>1422</v>
      </c>
      <c r="B681">
        <v>1274</v>
      </c>
      <c r="C681" t="s">
        <v>2275</v>
      </c>
      <c r="D681" t="s">
        <v>636</v>
      </c>
      <c r="E681">
        <v>2500</v>
      </c>
      <c r="F681" t="s">
        <v>0</v>
      </c>
      <c r="G681" t="s">
        <v>1525</v>
      </c>
      <c r="H681" t="s">
        <v>1425</v>
      </c>
      <c r="I681" t="s">
        <v>1426</v>
      </c>
      <c r="J681" t="s">
        <v>1426</v>
      </c>
      <c r="O681">
        <v>1336</v>
      </c>
      <c r="P681" t="str">
        <f t="shared" si="51"/>
        <v>DOLAP 6 KAPAKLI 210CM  (İST)</v>
      </c>
      <c r="Q681" s="1">
        <f t="shared" si="52"/>
        <v>27000</v>
      </c>
      <c r="R681" t="str">
        <f t="shared" si="53"/>
        <v>TL</v>
      </c>
      <c r="S681" t="str">
        <f t="shared" si="54"/>
        <v>MOBİLYA</v>
      </c>
      <c r="T681" t="str">
        <f t="shared" si="50"/>
        <v>mobilya</v>
      </c>
    </row>
    <row r="682" spans="1:20" x14ac:dyDescent="0.25">
      <c r="A682" t="s">
        <v>1422</v>
      </c>
      <c r="B682">
        <v>1275</v>
      </c>
      <c r="C682" t="s">
        <v>2273</v>
      </c>
      <c r="D682" t="s">
        <v>637</v>
      </c>
      <c r="E682">
        <v>2500</v>
      </c>
      <c r="F682" t="s">
        <v>0</v>
      </c>
      <c r="G682" t="s">
        <v>1525</v>
      </c>
      <c r="H682" t="s">
        <v>1425</v>
      </c>
      <c r="I682" t="s">
        <v>1426</v>
      </c>
      <c r="J682" t="s">
        <v>1426</v>
      </c>
      <c r="O682">
        <v>1337</v>
      </c>
      <c r="P682" t="str">
        <f t="shared" si="51"/>
        <v>TOST MAKİNESİ ARNEL DÖKÜM</v>
      </c>
      <c r="Q682" s="1">
        <f t="shared" si="52"/>
        <v>6000</v>
      </c>
      <c r="R682" t="str">
        <f t="shared" si="53"/>
        <v>TL</v>
      </c>
      <c r="S682" t="str">
        <f t="shared" si="54"/>
        <v>KEA</v>
      </c>
      <c r="T682" t="str">
        <f t="shared" si="50"/>
        <v>kea</v>
      </c>
    </row>
    <row r="683" spans="1:20" x14ac:dyDescent="0.25">
      <c r="A683" t="s">
        <v>1422</v>
      </c>
      <c r="B683">
        <v>1277</v>
      </c>
      <c r="C683" t="s">
        <v>2197</v>
      </c>
      <c r="D683" t="s">
        <v>638</v>
      </c>
      <c r="E683">
        <v>1000</v>
      </c>
      <c r="F683" t="s">
        <v>0</v>
      </c>
      <c r="G683" t="s">
        <v>1525</v>
      </c>
      <c r="H683" t="s">
        <v>1425</v>
      </c>
      <c r="I683" t="s">
        <v>1426</v>
      </c>
      <c r="J683" t="s">
        <v>1426</v>
      </c>
      <c r="O683">
        <v>1338</v>
      </c>
      <c r="P683" t="str">
        <f t="shared" si="51"/>
        <v>MASA KATLANIR 70*120 VERZALİT</v>
      </c>
      <c r="Q683" s="1">
        <f t="shared" si="52"/>
        <v>2100</v>
      </c>
      <c r="R683" t="str">
        <f t="shared" si="53"/>
        <v>TL</v>
      </c>
      <c r="S683" t="str">
        <f t="shared" si="54"/>
        <v>MASA-SAND-SEHPA-ZİGON</v>
      </c>
      <c r="T683" t="str">
        <f t="shared" si="50"/>
        <v>mssz</v>
      </c>
    </row>
    <row r="684" spans="1:20" x14ac:dyDescent="0.25">
      <c r="A684" t="s">
        <v>1422</v>
      </c>
      <c r="B684">
        <v>1280</v>
      </c>
      <c r="C684" t="s">
        <v>1693</v>
      </c>
      <c r="D684" t="s">
        <v>639</v>
      </c>
      <c r="E684">
        <v>2250</v>
      </c>
      <c r="F684" t="s">
        <v>0</v>
      </c>
      <c r="G684" t="s">
        <v>1525</v>
      </c>
      <c r="H684" t="s">
        <v>1425</v>
      </c>
      <c r="I684" t="s">
        <v>1426</v>
      </c>
      <c r="J684" t="s">
        <v>1426</v>
      </c>
      <c r="O684">
        <v>1339</v>
      </c>
      <c r="P684" t="str">
        <f t="shared" si="51"/>
        <v>ZİGON C HASIR CAMLI NİKEL / GOLD ODABAŞI</v>
      </c>
      <c r="Q684" s="1">
        <f t="shared" si="52"/>
        <v>5000</v>
      </c>
      <c r="R684" t="str">
        <f t="shared" si="53"/>
        <v>TL</v>
      </c>
      <c r="S684" t="str">
        <f t="shared" si="54"/>
        <v>MASA-SAND-SEHPA-ZİGON</v>
      </c>
      <c r="T684" t="str">
        <f t="shared" si="50"/>
        <v>mssz</v>
      </c>
    </row>
    <row r="685" spans="1:20" x14ac:dyDescent="0.25">
      <c r="A685" t="s">
        <v>1422</v>
      </c>
      <c r="B685">
        <v>1281</v>
      </c>
      <c r="C685" t="s">
        <v>1695</v>
      </c>
      <c r="D685" t="s">
        <v>640</v>
      </c>
      <c r="E685">
        <v>2500</v>
      </c>
      <c r="F685" t="s">
        <v>0</v>
      </c>
      <c r="G685" t="s">
        <v>1525</v>
      </c>
      <c r="H685" t="s">
        <v>1425</v>
      </c>
      <c r="I685" t="s">
        <v>1426</v>
      </c>
      <c r="J685" t="s">
        <v>1426</v>
      </c>
      <c r="O685">
        <v>1341</v>
      </c>
      <c r="P685" t="str">
        <f t="shared" si="51"/>
        <v>ZİGON C HASIR AHŞAP NİKEL ODABAŞI</v>
      </c>
      <c r="Q685" s="1">
        <f t="shared" si="52"/>
        <v>7600</v>
      </c>
      <c r="R685" t="str">
        <f t="shared" si="53"/>
        <v>TL</v>
      </c>
      <c r="S685" t="str">
        <f t="shared" si="54"/>
        <v>MASA-SAND-SEHPA-ZİGON</v>
      </c>
      <c r="T685" t="str">
        <f t="shared" si="50"/>
        <v>mssz</v>
      </c>
    </row>
    <row r="686" spans="1:20" x14ac:dyDescent="0.25">
      <c r="A686" t="s">
        <v>1422</v>
      </c>
      <c r="B686">
        <v>1282</v>
      </c>
      <c r="C686" t="s">
        <v>1694</v>
      </c>
      <c r="D686" t="s">
        <v>641</v>
      </c>
      <c r="E686">
        <v>2000</v>
      </c>
      <c r="F686" t="s">
        <v>0</v>
      </c>
      <c r="G686" t="s">
        <v>1525</v>
      </c>
      <c r="H686" t="s">
        <v>1425</v>
      </c>
      <c r="I686" t="s">
        <v>1426</v>
      </c>
      <c r="J686" t="s">
        <v>1426</v>
      </c>
      <c r="O686">
        <v>1342</v>
      </c>
      <c r="P686" t="str">
        <f t="shared" si="51"/>
        <v>ZİGON C 4 LÜ NİKEL COŞKUN</v>
      </c>
      <c r="Q686" s="1">
        <f t="shared" si="52"/>
        <v>4900</v>
      </c>
      <c r="R686" t="str">
        <f t="shared" si="53"/>
        <v>TL</v>
      </c>
      <c r="S686" t="str">
        <f t="shared" si="54"/>
        <v>MASA-SAND-SEHPA-ZİGON</v>
      </c>
      <c r="T686" t="str">
        <f t="shared" si="50"/>
        <v>mssz</v>
      </c>
    </row>
    <row r="687" spans="1:20" x14ac:dyDescent="0.25">
      <c r="A687" t="s">
        <v>1422</v>
      </c>
      <c r="B687">
        <v>1283</v>
      </c>
      <c r="C687" t="s">
        <v>1525</v>
      </c>
      <c r="D687" t="s">
        <v>642</v>
      </c>
      <c r="E687">
        <v>25000</v>
      </c>
      <c r="F687" t="s">
        <v>0</v>
      </c>
      <c r="G687" t="s">
        <v>1525</v>
      </c>
      <c r="H687" t="s">
        <v>1425</v>
      </c>
      <c r="I687" t="s">
        <v>1426</v>
      </c>
      <c r="J687" t="s">
        <v>1426</v>
      </c>
      <c r="O687">
        <v>1343</v>
      </c>
      <c r="P687" t="str">
        <f t="shared" si="51"/>
        <v>ZİGON C HASIR CAMLI GOLD ALFA</v>
      </c>
      <c r="Q687" s="1">
        <f t="shared" si="52"/>
        <v>3000</v>
      </c>
      <c r="R687" t="str">
        <f t="shared" si="53"/>
        <v>TL</v>
      </c>
      <c r="S687" t="str">
        <f t="shared" si="54"/>
        <v>MASA-SAND-SEHPA-ZİGON</v>
      </c>
      <c r="T687" t="str">
        <f t="shared" si="50"/>
        <v>mssz</v>
      </c>
    </row>
    <row r="688" spans="1:20" x14ac:dyDescent="0.25">
      <c r="A688" t="s">
        <v>1422</v>
      </c>
      <c r="B688">
        <v>1284</v>
      </c>
      <c r="C688" t="s">
        <v>1654</v>
      </c>
      <c r="D688" t="s">
        <v>643</v>
      </c>
      <c r="E688">
        <v>6000</v>
      </c>
      <c r="F688" t="s">
        <v>0</v>
      </c>
      <c r="G688" t="s">
        <v>1525</v>
      </c>
      <c r="H688" t="s">
        <v>1425</v>
      </c>
      <c r="I688" t="s">
        <v>1426</v>
      </c>
      <c r="J688" t="s">
        <v>1426</v>
      </c>
      <c r="O688">
        <v>1344</v>
      </c>
      <c r="P688" t="str">
        <f t="shared" si="51"/>
        <v>ZİGON C CAMLI NİKEL / GOLD</v>
      </c>
      <c r="Q688" s="1">
        <f t="shared" si="52"/>
        <v>2300</v>
      </c>
      <c r="R688" t="str">
        <f t="shared" si="53"/>
        <v>TL</v>
      </c>
      <c r="S688" t="str">
        <f t="shared" si="54"/>
        <v>MASA-SAND-SEHPA-ZİGON</v>
      </c>
      <c r="T688" t="str">
        <f t="shared" si="50"/>
        <v>mssz</v>
      </c>
    </row>
    <row r="689" spans="1:20" x14ac:dyDescent="0.25">
      <c r="A689" t="s">
        <v>1422</v>
      </c>
      <c r="B689">
        <v>1285</v>
      </c>
      <c r="C689" t="s">
        <v>1649</v>
      </c>
      <c r="D689" t="s">
        <v>644</v>
      </c>
      <c r="E689">
        <v>0</v>
      </c>
      <c r="F689" t="s">
        <v>0</v>
      </c>
      <c r="G689" t="s">
        <v>1525</v>
      </c>
      <c r="H689" t="s">
        <v>1425</v>
      </c>
      <c r="I689" t="s">
        <v>1426</v>
      </c>
      <c r="J689" t="s">
        <v>1426</v>
      </c>
      <c r="O689">
        <v>1345</v>
      </c>
      <c r="P689" t="str">
        <f t="shared" si="51"/>
        <v>ZİGON C AHŞAP TND</v>
      </c>
      <c r="Q689" s="1">
        <f t="shared" si="52"/>
        <v>2300</v>
      </c>
      <c r="R689" t="str">
        <f t="shared" si="53"/>
        <v>TL</v>
      </c>
      <c r="S689" t="str">
        <f t="shared" si="54"/>
        <v>MASA-SAND-SEHPA-ZİGON</v>
      </c>
      <c r="T689" t="str">
        <f t="shared" ref="T689:T752" si="55">IF(S689="KEA","kea",IF(S689="MOBİLYA","mobilya",IF(S689="TÜP","tup",IF(S689="MASA-SAND-SEHPA-ZİGON","mssz",IF(S689="ENDÜSTRİYEL","endustriyel",IF(S689="YEDEK PARÇA","diger",""))))))</f>
        <v>mssz</v>
      </c>
    </row>
    <row r="690" spans="1:20" x14ac:dyDescent="0.25">
      <c r="A690" t="s">
        <v>1422</v>
      </c>
      <c r="B690">
        <v>1286</v>
      </c>
      <c r="C690" t="s">
        <v>2301</v>
      </c>
      <c r="D690" t="s">
        <v>645</v>
      </c>
      <c r="E690">
        <v>500</v>
      </c>
      <c r="F690" t="s">
        <v>0</v>
      </c>
      <c r="G690" t="s">
        <v>1525</v>
      </c>
      <c r="H690" t="s">
        <v>1425</v>
      </c>
      <c r="I690" t="s">
        <v>1426</v>
      </c>
      <c r="J690" t="s">
        <v>1426</v>
      </c>
      <c r="O690">
        <v>1346</v>
      </c>
      <c r="P690" t="str">
        <f t="shared" ref="P690:P753" si="56">IFERROR(VLOOKUP(O690,$M:$N,2,0), VLOOKUP(O690,$B:$D,3,0))</f>
        <v>ORTA SEHPA KUĞU GOLD CAMLI ALTINAKSESUAR</v>
      </c>
      <c r="Q690" s="1">
        <f t="shared" ref="Q690:Q753" si="57">VLOOKUP(O690,$B:$E,4,0)*2</f>
        <v>5200</v>
      </c>
      <c r="R690" t="str">
        <f t="shared" ref="R690:R753" si="58">VLOOKUP(O690,$B:$F,5,0)</f>
        <v>TL</v>
      </c>
      <c r="S690" t="str">
        <f t="shared" ref="S690:S753" si="59">VLOOKUP(O690,$B:$G,6,0)</f>
        <v>MASA-SAND-SEHPA-ZİGON</v>
      </c>
      <c r="T690" t="str">
        <f t="shared" si="55"/>
        <v>mssz</v>
      </c>
    </row>
    <row r="691" spans="1:20" x14ac:dyDescent="0.25">
      <c r="A691" t="s">
        <v>1422</v>
      </c>
      <c r="B691">
        <v>1287</v>
      </c>
      <c r="C691" t="s">
        <v>2303</v>
      </c>
      <c r="D691" t="s">
        <v>646</v>
      </c>
      <c r="E691">
        <v>600</v>
      </c>
      <c r="F691" t="s">
        <v>0</v>
      </c>
      <c r="G691" t="s">
        <v>1525</v>
      </c>
      <c r="H691" t="s">
        <v>1425</v>
      </c>
      <c r="I691" t="s">
        <v>1426</v>
      </c>
      <c r="J691" t="s">
        <v>1426</v>
      </c>
      <c r="O691">
        <v>1347</v>
      </c>
      <c r="P691" t="str">
        <f t="shared" si="56"/>
        <v>ORTA SEHPA KUĞU NİKEL / GOLD CAMLI ALFA</v>
      </c>
      <c r="Q691" s="1">
        <f t="shared" si="57"/>
        <v>5200</v>
      </c>
      <c r="R691" t="str">
        <f t="shared" si="58"/>
        <v>TL</v>
      </c>
      <c r="S691" t="str">
        <f t="shared" si="59"/>
        <v>MASA-SAND-SEHPA-ZİGON</v>
      </c>
      <c r="T691" t="str">
        <f t="shared" si="55"/>
        <v>mssz</v>
      </c>
    </row>
    <row r="692" spans="1:20" x14ac:dyDescent="0.25">
      <c r="A692" t="s">
        <v>1422</v>
      </c>
      <c r="B692">
        <v>1290</v>
      </c>
      <c r="C692" t="s">
        <v>1824</v>
      </c>
      <c r="D692" t="s">
        <v>647</v>
      </c>
      <c r="E692">
        <v>1550</v>
      </c>
      <c r="F692" t="s">
        <v>0</v>
      </c>
      <c r="G692" t="s">
        <v>1525</v>
      </c>
      <c r="H692" t="s">
        <v>1425</v>
      </c>
      <c r="I692" t="s">
        <v>1426</v>
      </c>
      <c r="J692" t="s">
        <v>1426</v>
      </c>
      <c r="O692">
        <v>1348</v>
      </c>
      <c r="P692" t="str">
        <f t="shared" si="56"/>
        <v>YAŞAM 4+1 AHŞAP NİKEL / GOLD ODABAŞI</v>
      </c>
      <c r="Q692" s="1">
        <f t="shared" si="57"/>
        <v>9000</v>
      </c>
      <c r="R692" t="str">
        <f t="shared" si="58"/>
        <v>TL</v>
      </c>
      <c r="S692" t="str">
        <f t="shared" si="59"/>
        <v>MASA-SAND-SEHPA-ZİGON</v>
      </c>
      <c r="T692" t="str">
        <f t="shared" si="55"/>
        <v>mssz</v>
      </c>
    </row>
    <row r="693" spans="1:20" x14ac:dyDescent="0.25">
      <c r="A693" t="s">
        <v>1422</v>
      </c>
      <c r="B693">
        <v>1291</v>
      </c>
      <c r="C693" t="s">
        <v>1818</v>
      </c>
      <c r="D693" t="s">
        <v>648</v>
      </c>
      <c r="E693">
        <v>1450</v>
      </c>
      <c r="F693" t="s">
        <v>0</v>
      </c>
      <c r="G693" t="s">
        <v>1525</v>
      </c>
      <c r="H693" t="s">
        <v>1425</v>
      </c>
      <c r="I693" t="s">
        <v>1426</v>
      </c>
      <c r="J693" t="s">
        <v>1426</v>
      </c>
      <c r="O693">
        <v>1349</v>
      </c>
      <c r="P693" t="str">
        <f t="shared" si="56"/>
        <v>YAŞAM 4+1 SET CAMLI NİKEL / GOLD ODABAŞI</v>
      </c>
      <c r="Q693" s="1">
        <f t="shared" si="57"/>
        <v>10000</v>
      </c>
      <c r="R693" t="str">
        <f t="shared" si="58"/>
        <v>TL</v>
      </c>
      <c r="S693" t="str">
        <f t="shared" si="59"/>
        <v>MASA-SAND-SEHPA-ZİGON</v>
      </c>
      <c r="T693" t="str">
        <f t="shared" si="55"/>
        <v>mssz</v>
      </c>
    </row>
    <row r="694" spans="1:20" x14ac:dyDescent="0.25">
      <c r="A694" t="s">
        <v>1422</v>
      </c>
      <c r="B694">
        <v>1292</v>
      </c>
      <c r="C694" t="s">
        <v>1826</v>
      </c>
      <c r="D694" t="s">
        <v>649</v>
      </c>
      <c r="E694">
        <v>650</v>
      </c>
      <c r="F694" t="s">
        <v>0</v>
      </c>
      <c r="G694" t="s">
        <v>1525</v>
      </c>
      <c r="H694" t="s">
        <v>1425</v>
      </c>
      <c r="I694" t="s">
        <v>1426</v>
      </c>
      <c r="J694" t="s">
        <v>1426</v>
      </c>
      <c r="O694">
        <v>1350</v>
      </c>
      <c r="P694" t="str">
        <f t="shared" si="56"/>
        <v>YAŞAM 4+1 SET CAMLI GOLD ALTINAKSESUAR</v>
      </c>
      <c r="Q694" s="1">
        <f t="shared" si="57"/>
        <v>9000</v>
      </c>
      <c r="R694" t="str">
        <f t="shared" si="58"/>
        <v>TL</v>
      </c>
      <c r="S694" t="str">
        <f t="shared" si="59"/>
        <v>MASA-SAND-SEHPA-ZİGON</v>
      </c>
      <c r="T694" t="str">
        <f t="shared" si="55"/>
        <v>mssz</v>
      </c>
    </row>
    <row r="695" spans="1:20" x14ac:dyDescent="0.25">
      <c r="A695" t="s">
        <v>1422</v>
      </c>
      <c r="B695">
        <v>1293</v>
      </c>
      <c r="C695" t="s">
        <v>2296</v>
      </c>
      <c r="D695" t="s">
        <v>816</v>
      </c>
      <c r="E695">
        <v>850</v>
      </c>
      <c r="F695" t="s">
        <v>0</v>
      </c>
      <c r="G695" t="s">
        <v>1525</v>
      </c>
      <c r="H695" t="s">
        <v>1425</v>
      </c>
      <c r="I695" t="s">
        <v>1426</v>
      </c>
      <c r="J695" t="s">
        <v>1426</v>
      </c>
      <c r="O695">
        <v>1351</v>
      </c>
      <c r="P695" t="str">
        <f t="shared" si="56"/>
        <v>YAŞAM 4+1 SET CAMLI NİKEL ALTINAKSESUAR</v>
      </c>
      <c r="Q695" s="1">
        <f t="shared" si="57"/>
        <v>9000</v>
      </c>
      <c r="R695" t="str">
        <f t="shared" si="58"/>
        <v>TL</v>
      </c>
      <c r="S695" t="str">
        <f t="shared" si="59"/>
        <v>MASA-SAND-SEHPA-ZİGON</v>
      </c>
      <c r="T695" t="str">
        <f t="shared" si="55"/>
        <v>mssz</v>
      </c>
    </row>
    <row r="696" spans="1:20" x14ac:dyDescent="0.25">
      <c r="A696" t="s">
        <v>1422</v>
      </c>
      <c r="B696">
        <v>1294</v>
      </c>
      <c r="C696" t="s">
        <v>1831</v>
      </c>
      <c r="D696" t="s">
        <v>650</v>
      </c>
      <c r="E696">
        <v>850</v>
      </c>
      <c r="F696" t="s">
        <v>0</v>
      </c>
      <c r="G696" t="s">
        <v>1525</v>
      </c>
      <c r="H696" t="s">
        <v>1425</v>
      </c>
      <c r="I696" t="s">
        <v>1426</v>
      </c>
      <c r="J696" t="s">
        <v>1426</v>
      </c>
      <c r="O696">
        <v>1352</v>
      </c>
      <c r="P696" t="str">
        <f t="shared" si="56"/>
        <v>ZİGON SEDEF DÜZ BEYAZ</v>
      </c>
      <c r="Q696" s="1">
        <f t="shared" si="57"/>
        <v>6000</v>
      </c>
      <c r="R696" t="str">
        <f t="shared" si="58"/>
        <v>TL</v>
      </c>
      <c r="S696" t="str">
        <f t="shared" si="59"/>
        <v>MASA-SAND-SEHPA-ZİGON</v>
      </c>
      <c r="T696" t="str">
        <f t="shared" si="55"/>
        <v>mssz</v>
      </c>
    </row>
    <row r="697" spans="1:20" x14ac:dyDescent="0.25">
      <c r="A697" t="s">
        <v>1422</v>
      </c>
      <c r="B697">
        <v>1295</v>
      </c>
      <c r="C697" t="s">
        <v>2288</v>
      </c>
      <c r="D697" t="s">
        <v>651</v>
      </c>
      <c r="E697">
        <v>1550</v>
      </c>
      <c r="F697" t="s">
        <v>0</v>
      </c>
      <c r="G697" t="s">
        <v>1525</v>
      </c>
      <c r="H697" t="s">
        <v>1425</v>
      </c>
      <c r="I697" t="s">
        <v>1426</v>
      </c>
      <c r="J697" t="s">
        <v>1426</v>
      </c>
      <c r="O697">
        <v>1353</v>
      </c>
      <c r="P697" t="str">
        <f t="shared" si="56"/>
        <v>ORTA SEHPA KELEBEK AHŞAP KREM</v>
      </c>
      <c r="Q697" s="1">
        <f t="shared" si="57"/>
        <v>9000</v>
      </c>
      <c r="R697" t="str">
        <f t="shared" si="58"/>
        <v>TL</v>
      </c>
      <c r="S697" t="str">
        <f t="shared" si="59"/>
        <v>MASA-SAND-SEHPA-ZİGON</v>
      </c>
      <c r="T697" t="str">
        <f t="shared" si="55"/>
        <v>mssz</v>
      </c>
    </row>
    <row r="698" spans="1:20" x14ac:dyDescent="0.25">
      <c r="A698" t="s">
        <v>1422</v>
      </c>
      <c r="B698">
        <v>1297</v>
      </c>
      <c r="C698" t="s">
        <v>1827</v>
      </c>
      <c r="D698" t="s">
        <v>652</v>
      </c>
      <c r="E698">
        <v>250</v>
      </c>
      <c r="F698" t="s">
        <v>0</v>
      </c>
      <c r="G698" t="s">
        <v>1525</v>
      </c>
      <c r="H698" t="s">
        <v>1425</v>
      </c>
      <c r="I698" t="s">
        <v>1426</v>
      </c>
      <c r="J698" t="s">
        <v>1426</v>
      </c>
      <c r="O698">
        <v>1354</v>
      </c>
      <c r="P698" t="str">
        <f t="shared" si="56"/>
        <v>ORTA SEHPA PİYANO MDF KARE</v>
      </c>
      <c r="Q698" s="1">
        <f t="shared" si="57"/>
        <v>9500</v>
      </c>
      <c r="R698" t="str">
        <f t="shared" si="58"/>
        <v>TL</v>
      </c>
      <c r="S698" t="str">
        <f t="shared" si="59"/>
        <v>MASA-SAND-SEHPA-ZİGON</v>
      </c>
      <c r="T698" t="str">
        <f t="shared" si="55"/>
        <v>mssz</v>
      </c>
    </row>
    <row r="699" spans="1:20" x14ac:dyDescent="0.25">
      <c r="A699" t="s">
        <v>1422</v>
      </c>
      <c r="B699">
        <v>1300</v>
      </c>
      <c r="C699" t="s">
        <v>2133</v>
      </c>
      <c r="D699" t="s">
        <v>653</v>
      </c>
      <c r="E699">
        <v>0</v>
      </c>
      <c r="F699" t="s">
        <v>0</v>
      </c>
      <c r="G699" t="s">
        <v>1525</v>
      </c>
      <c r="H699" t="s">
        <v>1425</v>
      </c>
      <c r="I699" t="s">
        <v>1426</v>
      </c>
      <c r="J699" t="s">
        <v>1426</v>
      </c>
      <c r="O699">
        <v>1355</v>
      </c>
      <c r="P699" t="str">
        <f t="shared" si="56"/>
        <v>ZİGON PİYANO MDF KARE</v>
      </c>
      <c r="Q699" s="1">
        <f t="shared" si="57"/>
        <v>9500</v>
      </c>
      <c r="R699" t="str">
        <f t="shared" si="58"/>
        <v>TL</v>
      </c>
      <c r="S699" t="str">
        <f t="shared" si="59"/>
        <v>MASA-SAND-SEHPA-ZİGON</v>
      </c>
      <c r="T699" t="str">
        <f t="shared" si="55"/>
        <v>mssz</v>
      </c>
    </row>
    <row r="700" spans="1:20" x14ac:dyDescent="0.25">
      <c r="A700" t="s">
        <v>1422</v>
      </c>
      <c r="B700">
        <v>1301</v>
      </c>
      <c r="C700" t="s">
        <v>2184</v>
      </c>
      <c r="D700" t="s">
        <v>654</v>
      </c>
      <c r="E700">
        <v>2000</v>
      </c>
      <c r="F700" t="s">
        <v>0</v>
      </c>
      <c r="G700" t="s">
        <v>1525</v>
      </c>
      <c r="H700" t="s">
        <v>1425</v>
      </c>
      <c r="I700" t="s">
        <v>1426</v>
      </c>
      <c r="J700" t="s">
        <v>1426</v>
      </c>
      <c r="O700">
        <v>1356</v>
      </c>
      <c r="P700" t="str">
        <f t="shared" si="56"/>
        <v>ZİGON NEJLA</v>
      </c>
      <c r="Q700" s="1">
        <f t="shared" si="57"/>
        <v>9000</v>
      </c>
      <c r="R700" t="str">
        <f t="shared" si="58"/>
        <v>TL</v>
      </c>
      <c r="S700" t="str">
        <f t="shared" si="59"/>
        <v>MASA-SAND-SEHPA-ZİGON</v>
      </c>
      <c r="T700" t="str">
        <f t="shared" si="55"/>
        <v>mssz</v>
      </c>
    </row>
    <row r="701" spans="1:20" x14ac:dyDescent="0.25">
      <c r="A701" t="s">
        <v>1422</v>
      </c>
      <c r="B701">
        <v>1302</v>
      </c>
      <c r="C701" t="s">
        <v>2189</v>
      </c>
      <c r="D701" t="s">
        <v>655</v>
      </c>
      <c r="E701">
        <v>2000</v>
      </c>
      <c r="F701" t="s">
        <v>0</v>
      </c>
      <c r="G701" t="s">
        <v>1525</v>
      </c>
      <c r="H701" t="s">
        <v>1425</v>
      </c>
      <c r="I701" t="s">
        <v>1426</v>
      </c>
      <c r="J701" t="s">
        <v>1426</v>
      </c>
      <c r="O701">
        <v>1357</v>
      </c>
      <c r="P701" t="str">
        <f t="shared" si="56"/>
        <v>ZİGON A CAMLI İNCE AYAK</v>
      </c>
      <c r="Q701" s="1">
        <f t="shared" si="57"/>
        <v>3500</v>
      </c>
      <c r="R701" t="str">
        <f t="shared" si="58"/>
        <v>TL</v>
      </c>
      <c r="S701" t="str">
        <f t="shared" si="59"/>
        <v>MASA-SAND-SEHPA-ZİGON</v>
      </c>
      <c r="T701" t="str">
        <f t="shared" si="55"/>
        <v>mssz</v>
      </c>
    </row>
    <row r="702" spans="1:20" x14ac:dyDescent="0.25">
      <c r="A702" t="s">
        <v>1422</v>
      </c>
      <c r="B702">
        <v>1303</v>
      </c>
      <c r="C702" t="s">
        <v>2185</v>
      </c>
      <c r="D702" t="s">
        <v>656</v>
      </c>
      <c r="E702">
        <v>2250</v>
      </c>
      <c r="F702" t="s">
        <v>0</v>
      </c>
      <c r="G702" t="s">
        <v>1525</v>
      </c>
      <c r="H702" t="s">
        <v>1425</v>
      </c>
      <c r="I702" t="s">
        <v>1426</v>
      </c>
      <c r="J702" t="s">
        <v>1426</v>
      </c>
      <c r="O702">
        <v>1359</v>
      </c>
      <c r="P702" t="str">
        <f t="shared" si="56"/>
        <v>AYAKKABILIK METAL 2 Lİ</v>
      </c>
      <c r="Q702" s="1">
        <f t="shared" si="57"/>
        <v>4700</v>
      </c>
      <c r="R702" t="str">
        <f t="shared" si="58"/>
        <v>TL</v>
      </c>
      <c r="S702" t="str">
        <f t="shared" si="59"/>
        <v>MOBİLYA</v>
      </c>
      <c r="T702" t="str">
        <f t="shared" si="55"/>
        <v>mobilya</v>
      </c>
    </row>
    <row r="703" spans="1:20" x14ac:dyDescent="0.25">
      <c r="A703" t="s">
        <v>1422</v>
      </c>
      <c r="B703">
        <v>1304</v>
      </c>
      <c r="C703" t="s">
        <v>1713</v>
      </c>
      <c r="D703" t="s">
        <v>657</v>
      </c>
      <c r="E703">
        <v>7425</v>
      </c>
      <c r="F703" t="s">
        <v>0</v>
      </c>
      <c r="G703" t="s">
        <v>1525</v>
      </c>
      <c r="H703" t="s">
        <v>1425</v>
      </c>
      <c r="I703" t="s">
        <v>1426</v>
      </c>
      <c r="J703" t="s">
        <v>1426</v>
      </c>
      <c r="O703">
        <v>1360</v>
      </c>
      <c r="P703" t="str">
        <f t="shared" si="56"/>
        <v>AYAKKABILIK METAL 3 LÜ</v>
      </c>
      <c r="Q703" s="1">
        <f t="shared" si="57"/>
        <v>5800</v>
      </c>
      <c r="R703" t="str">
        <f t="shared" si="58"/>
        <v>TL</v>
      </c>
      <c r="S703" t="str">
        <f t="shared" si="59"/>
        <v>MOBİLYA</v>
      </c>
      <c r="T703" t="str">
        <f t="shared" si="55"/>
        <v>mobilya</v>
      </c>
    </row>
    <row r="704" spans="1:20" x14ac:dyDescent="0.25">
      <c r="A704" t="s">
        <v>1422</v>
      </c>
      <c r="B704">
        <v>1305</v>
      </c>
      <c r="C704" t="s">
        <v>1712</v>
      </c>
      <c r="D704" t="s">
        <v>658</v>
      </c>
      <c r="E704">
        <v>7000</v>
      </c>
      <c r="F704" t="s">
        <v>0</v>
      </c>
      <c r="G704" t="s">
        <v>1525</v>
      </c>
      <c r="H704" t="s">
        <v>1425</v>
      </c>
      <c r="I704" t="s">
        <v>1426</v>
      </c>
      <c r="J704" t="s">
        <v>1426</v>
      </c>
      <c r="O704">
        <v>1361</v>
      </c>
      <c r="P704" t="str">
        <f t="shared" si="56"/>
        <v>AYAKKABILIK METAL 4 LÜ</v>
      </c>
      <c r="Q704" s="1">
        <f t="shared" si="57"/>
        <v>7000</v>
      </c>
      <c r="R704" t="str">
        <f t="shared" si="58"/>
        <v>TL</v>
      </c>
      <c r="S704" t="str">
        <f t="shared" si="59"/>
        <v>MOBİLYA</v>
      </c>
      <c r="T704" t="str">
        <f t="shared" si="55"/>
        <v>mobilya</v>
      </c>
    </row>
    <row r="705" spans="1:20" x14ac:dyDescent="0.25">
      <c r="A705" t="s">
        <v>1422</v>
      </c>
      <c r="B705">
        <v>1306</v>
      </c>
      <c r="C705" t="s">
        <v>2119</v>
      </c>
      <c r="D705" t="s">
        <v>659</v>
      </c>
      <c r="E705">
        <v>8650</v>
      </c>
      <c r="F705" t="s">
        <v>0</v>
      </c>
      <c r="G705" t="s">
        <v>1606</v>
      </c>
      <c r="H705" t="s">
        <v>1425</v>
      </c>
      <c r="I705" t="s">
        <v>1426</v>
      </c>
      <c r="J705" t="s">
        <v>1426</v>
      </c>
      <c r="O705">
        <v>1362</v>
      </c>
      <c r="P705" t="str">
        <f t="shared" si="56"/>
        <v>QUARTZ SOBA ŞAMDAN 3005 İNFRARED</v>
      </c>
      <c r="Q705" s="1">
        <f t="shared" si="57"/>
        <v>3500</v>
      </c>
      <c r="R705" t="str">
        <f t="shared" si="58"/>
        <v>TL</v>
      </c>
      <c r="S705" t="str">
        <f t="shared" si="59"/>
        <v>KEA</v>
      </c>
      <c r="T705" t="str">
        <f t="shared" si="55"/>
        <v>kea</v>
      </c>
    </row>
    <row r="706" spans="1:20" x14ac:dyDescent="0.25">
      <c r="A706" t="s">
        <v>1422</v>
      </c>
      <c r="B706">
        <v>1307</v>
      </c>
      <c r="C706" t="s">
        <v>2117</v>
      </c>
      <c r="D706" t="s">
        <v>660</v>
      </c>
      <c r="E706">
        <v>9250</v>
      </c>
      <c r="F706" t="s">
        <v>0</v>
      </c>
      <c r="G706" t="s">
        <v>1606</v>
      </c>
      <c r="H706" t="s">
        <v>1425</v>
      </c>
      <c r="I706" t="s">
        <v>1426</v>
      </c>
      <c r="J706" t="s">
        <v>1426</v>
      </c>
      <c r="O706">
        <v>1363</v>
      </c>
      <c r="P706" t="str">
        <f t="shared" si="56"/>
        <v>ORTA SEHPA C CAMLI NİKEL / GOLD</v>
      </c>
      <c r="Q706" s="1">
        <f t="shared" si="57"/>
        <v>2300</v>
      </c>
      <c r="R706" t="str">
        <f t="shared" si="58"/>
        <v>TL</v>
      </c>
      <c r="S706" t="str">
        <f t="shared" si="59"/>
        <v>MASA-SAND-SEHPA-ZİGON</v>
      </c>
      <c r="T706" t="str">
        <f t="shared" si="55"/>
        <v>mssz</v>
      </c>
    </row>
    <row r="707" spans="1:20" x14ac:dyDescent="0.25">
      <c r="A707" t="s">
        <v>1422</v>
      </c>
      <c r="B707">
        <v>1308</v>
      </c>
      <c r="C707" t="s">
        <v>2112</v>
      </c>
      <c r="D707" t="s">
        <v>661</v>
      </c>
      <c r="E707">
        <v>9400</v>
      </c>
      <c r="F707" t="s">
        <v>0</v>
      </c>
      <c r="G707" t="s">
        <v>1606</v>
      </c>
      <c r="H707" t="s">
        <v>1425</v>
      </c>
      <c r="I707" t="s">
        <v>1426</v>
      </c>
      <c r="J707" t="s">
        <v>1426</v>
      </c>
      <c r="O707">
        <v>1365</v>
      </c>
      <c r="P707" t="str">
        <f t="shared" si="56"/>
        <v>ZİGON A CAMLI KALIN AYAK</v>
      </c>
      <c r="Q707" s="1">
        <f t="shared" si="57"/>
        <v>3600</v>
      </c>
      <c r="R707" t="str">
        <f t="shared" si="58"/>
        <v>TL</v>
      </c>
      <c r="S707" t="str">
        <f t="shared" si="59"/>
        <v>MASA-SAND-SEHPA-ZİGON</v>
      </c>
      <c r="T707" t="str">
        <f t="shared" si="55"/>
        <v>mssz</v>
      </c>
    </row>
    <row r="708" spans="1:20" x14ac:dyDescent="0.25">
      <c r="A708" t="s">
        <v>1422</v>
      </c>
      <c r="B708">
        <v>1310</v>
      </c>
      <c r="C708" t="s">
        <v>2315</v>
      </c>
      <c r="D708" t="s">
        <v>662</v>
      </c>
      <c r="E708">
        <v>0</v>
      </c>
      <c r="F708" t="s">
        <v>0</v>
      </c>
      <c r="G708" t="s">
        <v>1525</v>
      </c>
      <c r="H708" t="s">
        <v>1425</v>
      </c>
      <c r="I708" t="s">
        <v>1426</v>
      </c>
      <c r="J708" t="s">
        <v>1426</v>
      </c>
      <c r="O708">
        <v>1366</v>
      </c>
      <c r="P708" t="str">
        <f t="shared" si="56"/>
        <v>LOKANTA OCAĞI 3'LÜ KISA AYAK DG</v>
      </c>
      <c r="Q708" s="1">
        <f t="shared" si="57"/>
        <v>14000</v>
      </c>
      <c r="R708" t="str">
        <f t="shared" si="58"/>
        <v>TL</v>
      </c>
      <c r="S708" t="str">
        <f t="shared" si="59"/>
        <v>ENDÜSTRİYEL</v>
      </c>
      <c r="T708" t="str">
        <f t="shared" si="55"/>
        <v>endustriyel</v>
      </c>
    </row>
    <row r="709" spans="1:20" x14ac:dyDescent="0.25">
      <c r="A709" t="s">
        <v>1422</v>
      </c>
      <c r="B709">
        <v>1312</v>
      </c>
      <c r="C709" t="s">
        <v>1598</v>
      </c>
      <c r="D709" t="s">
        <v>663</v>
      </c>
      <c r="E709">
        <v>3000</v>
      </c>
      <c r="F709" t="s">
        <v>0</v>
      </c>
      <c r="G709" t="s">
        <v>1560</v>
      </c>
      <c r="H709" t="s">
        <v>1425</v>
      </c>
      <c r="I709" t="s">
        <v>1426</v>
      </c>
      <c r="J709" t="s">
        <v>1426</v>
      </c>
      <c r="O709">
        <v>1367</v>
      </c>
      <c r="P709" t="str">
        <f t="shared" si="56"/>
        <v>LOKANTA OCAĞI KAPLANLI 3 LÜ KISA GAZ EM.LPG</v>
      </c>
      <c r="Q709" s="1">
        <f t="shared" si="57"/>
        <v>34500</v>
      </c>
      <c r="R709" t="str">
        <f t="shared" si="58"/>
        <v>TL</v>
      </c>
      <c r="S709" t="str">
        <f t="shared" si="59"/>
        <v>ENDÜSTRİYEL</v>
      </c>
      <c r="T709" t="str">
        <f t="shared" si="55"/>
        <v>endustriyel</v>
      </c>
    </row>
    <row r="710" spans="1:20" x14ac:dyDescent="0.25">
      <c r="A710" t="s">
        <v>1422</v>
      </c>
      <c r="B710">
        <v>1316</v>
      </c>
      <c r="C710" t="s">
        <v>2034</v>
      </c>
      <c r="D710" t="s">
        <v>664</v>
      </c>
      <c r="E710">
        <v>3500</v>
      </c>
      <c r="F710" t="s">
        <v>0</v>
      </c>
      <c r="G710" t="s">
        <v>1424</v>
      </c>
      <c r="H710" t="s">
        <v>1425</v>
      </c>
      <c r="I710" t="s">
        <v>1426</v>
      </c>
      <c r="J710" t="s">
        <v>1426</v>
      </c>
      <c r="O710">
        <v>1368</v>
      </c>
      <c r="P710" t="str">
        <f t="shared" si="56"/>
        <v>DAVLUMBAZ LUXELL BEYAZ CAM</v>
      </c>
      <c r="Q710" s="1">
        <f t="shared" si="57"/>
        <v>8000</v>
      </c>
      <c r="R710" t="str">
        <f t="shared" si="58"/>
        <v>TL</v>
      </c>
      <c r="S710" t="str">
        <f t="shared" si="59"/>
        <v>KEA</v>
      </c>
      <c r="T710" t="str">
        <f t="shared" si="55"/>
        <v>kea</v>
      </c>
    </row>
    <row r="711" spans="1:20" x14ac:dyDescent="0.25">
      <c r="A711" t="s">
        <v>1422</v>
      </c>
      <c r="B711">
        <v>1317</v>
      </c>
      <c r="C711" t="s">
        <v>1629</v>
      </c>
      <c r="D711" t="s">
        <v>665</v>
      </c>
      <c r="E711">
        <v>0</v>
      </c>
      <c r="F711" t="s">
        <v>0</v>
      </c>
      <c r="G711" t="s">
        <v>1525</v>
      </c>
      <c r="H711" t="s">
        <v>1425</v>
      </c>
      <c r="I711" t="s">
        <v>1426</v>
      </c>
      <c r="J711" t="s">
        <v>1426</v>
      </c>
      <c r="O711">
        <v>1369</v>
      </c>
      <c r="P711" t="str">
        <f t="shared" si="56"/>
        <v>MASA MDF X AYAK SÜRGÜLÜ CARARA/B.MERMER CANIPEK</v>
      </c>
      <c r="Q711" s="1">
        <f t="shared" si="57"/>
        <v>14000</v>
      </c>
      <c r="R711" t="str">
        <f t="shared" si="58"/>
        <v>TL</v>
      </c>
      <c r="S711" t="str">
        <f t="shared" si="59"/>
        <v>MASA-SAND-SEHPA-ZİGON</v>
      </c>
      <c r="T711" t="str">
        <f t="shared" si="55"/>
        <v>mssz</v>
      </c>
    </row>
    <row r="712" spans="1:20" x14ac:dyDescent="0.25">
      <c r="A712" t="s">
        <v>1422</v>
      </c>
      <c r="B712">
        <v>1318</v>
      </c>
      <c r="C712" t="s">
        <v>1835</v>
      </c>
      <c r="D712" t="s">
        <v>666</v>
      </c>
      <c r="E712">
        <v>250</v>
      </c>
      <c r="F712" t="s">
        <v>0</v>
      </c>
      <c r="G712" t="s">
        <v>1553</v>
      </c>
      <c r="H712" t="s">
        <v>1425</v>
      </c>
      <c r="I712" t="s">
        <v>1426</v>
      </c>
      <c r="J712" t="s">
        <v>1426</v>
      </c>
      <c r="O712">
        <v>1370</v>
      </c>
      <c r="P712" t="str">
        <f t="shared" si="56"/>
        <v>MASA MDF X AYAK SÜRGÜLÜ DÜZ BEYAZ  CANIPEK</v>
      </c>
      <c r="Q712" s="1">
        <f t="shared" si="57"/>
        <v>14000</v>
      </c>
      <c r="R712" t="str">
        <f t="shared" si="58"/>
        <v>TL</v>
      </c>
      <c r="S712" t="str">
        <f t="shared" si="59"/>
        <v>MASA-SAND-SEHPA-ZİGON</v>
      </c>
      <c r="T712" t="str">
        <f t="shared" si="55"/>
        <v>mssz</v>
      </c>
    </row>
    <row r="713" spans="1:20" x14ac:dyDescent="0.25">
      <c r="A713" t="s">
        <v>1422</v>
      </c>
      <c r="B713">
        <v>1320</v>
      </c>
      <c r="C713" t="s">
        <v>1891</v>
      </c>
      <c r="D713" t="s">
        <v>667</v>
      </c>
      <c r="E713">
        <v>1900</v>
      </c>
      <c r="F713" t="s">
        <v>0</v>
      </c>
      <c r="G713" t="s">
        <v>1424</v>
      </c>
      <c r="H713" t="s">
        <v>1425</v>
      </c>
      <c r="I713" t="s">
        <v>1426</v>
      </c>
      <c r="J713" t="s">
        <v>1426</v>
      </c>
      <c r="O713">
        <v>1371</v>
      </c>
      <c r="P713" t="str">
        <f t="shared" si="56"/>
        <v>MASA MDF X AYAK SÜRGÜLÜ EFES CANIPEK</v>
      </c>
      <c r="Q713" s="1">
        <f t="shared" si="57"/>
        <v>14000</v>
      </c>
      <c r="R713" t="str">
        <f t="shared" si="58"/>
        <v>TL</v>
      </c>
      <c r="S713" t="str">
        <f t="shared" si="59"/>
        <v>MASA-SAND-SEHPA-ZİGON</v>
      </c>
      <c r="T713" t="str">
        <f t="shared" si="55"/>
        <v>mssz</v>
      </c>
    </row>
    <row r="714" spans="1:20" x14ac:dyDescent="0.25">
      <c r="A714" t="s">
        <v>1422</v>
      </c>
      <c r="B714">
        <v>1321</v>
      </c>
      <c r="C714" t="s">
        <v>2277</v>
      </c>
      <c r="D714" t="s">
        <v>831</v>
      </c>
      <c r="E714">
        <v>2500</v>
      </c>
      <c r="F714" t="s">
        <v>0</v>
      </c>
      <c r="G714" t="s">
        <v>1560</v>
      </c>
      <c r="H714" t="s">
        <v>1425</v>
      </c>
      <c r="I714" t="s">
        <v>1426</v>
      </c>
      <c r="J714" t="s">
        <v>1426</v>
      </c>
      <c r="O714">
        <v>1374</v>
      </c>
      <c r="P714" t="str">
        <f t="shared" si="56"/>
        <v>RANZA METAL</v>
      </c>
      <c r="Q714" s="1">
        <f t="shared" si="57"/>
        <v>7700</v>
      </c>
      <c r="R714" t="str">
        <f t="shared" si="58"/>
        <v>TL</v>
      </c>
      <c r="S714" t="str">
        <f t="shared" si="59"/>
        <v>MOBİLYA</v>
      </c>
      <c r="T714" t="str">
        <f t="shared" si="55"/>
        <v>mobilya</v>
      </c>
    </row>
    <row r="715" spans="1:20" x14ac:dyDescent="0.25">
      <c r="A715" t="s">
        <v>1422</v>
      </c>
      <c r="B715">
        <v>1322</v>
      </c>
      <c r="C715" t="s">
        <v>1596</v>
      </c>
      <c r="D715" t="s">
        <v>668</v>
      </c>
      <c r="E715">
        <v>4000</v>
      </c>
      <c r="F715" t="s">
        <v>0</v>
      </c>
      <c r="G715" t="s">
        <v>1560</v>
      </c>
      <c r="H715" t="s">
        <v>1425</v>
      </c>
      <c r="I715" t="s">
        <v>1426</v>
      </c>
      <c r="J715" t="s">
        <v>1426</v>
      </c>
      <c r="O715">
        <v>1375</v>
      </c>
      <c r="P715" t="str">
        <f t="shared" si="56"/>
        <v>SANDALYE EKO</v>
      </c>
      <c r="Q715" s="1">
        <f t="shared" si="57"/>
        <v>2000</v>
      </c>
      <c r="R715" t="str">
        <f t="shared" si="58"/>
        <v>TL</v>
      </c>
      <c r="S715" t="str">
        <f t="shared" si="59"/>
        <v>MASA-SAND-SEHPA-ZİGON</v>
      </c>
      <c r="T715" t="str">
        <f t="shared" si="55"/>
        <v>mssz</v>
      </c>
    </row>
    <row r="716" spans="1:20" x14ac:dyDescent="0.25">
      <c r="A716" t="s">
        <v>1422</v>
      </c>
      <c r="B716">
        <v>1323</v>
      </c>
      <c r="C716" t="s">
        <v>2263</v>
      </c>
      <c r="D716" t="s">
        <v>669</v>
      </c>
      <c r="E716">
        <v>0</v>
      </c>
      <c r="F716" t="s">
        <v>0</v>
      </c>
      <c r="G716" t="s">
        <v>1560</v>
      </c>
      <c r="H716" t="s">
        <v>1425</v>
      </c>
      <c r="I716" t="s">
        <v>1426</v>
      </c>
      <c r="J716" t="s">
        <v>1426</v>
      </c>
      <c r="O716">
        <v>1376</v>
      </c>
      <c r="P716" t="str">
        <f t="shared" si="56"/>
        <v>MASA LAK KELEBEK 80*140 (FYZ)</v>
      </c>
      <c r="Q716" s="1">
        <f t="shared" si="57"/>
        <v>10000</v>
      </c>
      <c r="R716" t="str">
        <f t="shared" si="58"/>
        <v>TL</v>
      </c>
      <c r="S716" t="str">
        <f t="shared" si="59"/>
        <v>MASA-SAND-SEHPA-ZİGON</v>
      </c>
      <c r="T716" t="str">
        <f t="shared" si="55"/>
        <v>mssz</v>
      </c>
    </row>
    <row r="717" spans="1:20" x14ac:dyDescent="0.25">
      <c r="A717" t="s">
        <v>1422</v>
      </c>
      <c r="B717">
        <v>1324</v>
      </c>
      <c r="C717" t="s">
        <v>1552</v>
      </c>
      <c r="D717" t="s">
        <v>670</v>
      </c>
      <c r="E717">
        <v>850</v>
      </c>
      <c r="F717" t="s">
        <v>0</v>
      </c>
      <c r="G717" t="s">
        <v>1553</v>
      </c>
      <c r="H717" t="s">
        <v>1425</v>
      </c>
      <c r="I717" t="s">
        <v>1426</v>
      </c>
      <c r="J717" t="s">
        <v>1426</v>
      </c>
      <c r="O717">
        <v>1377</v>
      </c>
      <c r="P717" t="str">
        <f t="shared" si="56"/>
        <v>SÜZGEÇ VİDALI TURBO</v>
      </c>
      <c r="Q717" s="1">
        <f t="shared" si="57"/>
        <v>70</v>
      </c>
      <c r="R717" t="str">
        <f t="shared" si="58"/>
        <v>TL</v>
      </c>
      <c r="S717" t="str">
        <f t="shared" si="59"/>
        <v>TÜP</v>
      </c>
      <c r="T717" t="str">
        <f t="shared" si="55"/>
        <v>tup</v>
      </c>
    </row>
    <row r="718" spans="1:20" x14ac:dyDescent="0.25">
      <c r="A718" t="s">
        <v>1422</v>
      </c>
      <c r="B718">
        <v>1325</v>
      </c>
      <c r="C718" t="s">
        <v>1837</v>
      </c>
      <c r="D718" t="s">
        <v>671</v>
      </c>
      <c r="E718">
        <v>4500</v>
      </c>
      <c r="F718" t="s">
        <v>0</v>
      </c>
      <c r="G718" t="s">
        <v>1525</v>
      </c>
      <c r="H718" t="s">
        <v>1425</v>
      </c>
      <c r="I718" t="s">
        <v>1426</v>
      </c>
      <c r="J718" t="s">
        <v>1426</v>
      </c>
      <c r="O718">
        <v>1380</v>
      </c>
      <c r="P718" t="str">
        <f t="shared" si="56"/>
        <v>SANDALYE KARE GOLD BF AS HOME</v>
      </c>
      <c r="Q718" s="1">
        <f t="shared" si="57"/>
        <v>3000</v>
      </c>
      <c r="R718" t="str">
        <f t="shared" si="58"/>
        <v>TL</v>
      </c>
      <c r="S718" t="str">
        <f t="shared" si="59"/>
        <v>MASA-SAND-SEHPA-ZİGON</v>
      </c>
      <c r="T718" t="str">
        <f t="shared" si="55"/>
        <v>mssz</v>
      </c>
    </row>
    <row r="719" spans="1:20" x14ac:dyDescent="0.25">
      <c r="A719" t="s">
        <v>1422</v>
      </c>
      <c r="B719">
        <v>1326</v>
      </c>
      <c r="C719" t="s">
        <v>2066</v>
      </c>
      <c r="D719" t="s">
        <v>672</v>
      </c>
      <c r="E719">
        <v>13680</v>
      </c>
      <c r="F719" t="s">
        <v>0</v>
      </c>
      <c r="G719" t="s">
        <v>1606</v>
      </c>
      <c r="H719" t="s">
        <v>1425</v>
      </c>
      <c r="I719" t="s">
        <v>1426</v>
      </c>
      <c r="J719" t="s">
        <v>1426</v>
      </c>
      <c r="O719">
        <v>1395</v>
      </c>
      <c r="P719" t="str">
        <f t="shared" si="56"/>
        <v xml:space="preserve">SANDALYE ADA AS HOME </v>
      </c>
      <c r="Q719" s="1">
        <f t="shared" si="57"/>
        <v>3600</v>
      </c>
      <c r="R719" t="str">
        <f t="shared" si="58"/>
        <v>TL</v>
      </c>
      <c r="S719" t="str">
        <f t="shared" si="59"/>
        <v>MASA-SAND-SEHPA-ZİGON</v>
      </c>
      <c r="T719" t="str">
        <f t="shared" si="55"/>
        <v>mssz</v>
      </c>
    </row>
    <row r="720" spans="1:20" x14ac:dyDescent="0.25">
      <c r="A720" t="s">
        <v>1422</v>
      </c>
      <c r="B720">
        <v>1327</v>
      </c>
      <c r="C720" t="s">
        <v>2067</v>
      </c>
      <c r="D720" t="s">
        <v>673</v>
      </c>
      <c r="E720">
        <v>12000</v>
      </c>
      <c r="F720" t="s">
        <v>0</v>
      </c>
      <c r="G720" t="s">
        <v>1606</v>
      </c>
      <c r="H720" t="s">
        <v>1425</v>
      </c>
      <c r="I720" t="s">
        <v>1426</v>
      </c>
      <c r="J720" t="s">
        <v>1426</v>
      </c>
      <c r="O720">
        <v>1398</v>
      </c>
      <c r="P720" t="str">
        <f t="shared" si="56"/>
        <v>SANDALYE ASALET AS HOME</v>
      </c>
      <c r="Q720" s="1">
        <f t="shared" si="57"/>
        <v>3600</v>
      </c>
      <c r="R720" t="str">
        <f t="shared" si="58"/>
        <v>TL</v>
      </c>
      <c r="S720" t="str">
        <f t="shared" si="59"/>
        <v>MASA-SAND-SEHPA-ZİGON</v>
      </c>
      <c r="T720" t="str">
        <f t="shared" si="55"/>
        <v>mssz</v>
      </c>
    </row>
    <row r="721" spans="1:20" x14ac:dyDescent="0.25">
      <c r="A721" t="s">
        <v>1422</v>
      </c>
      <c r="B721">
        <v>1328</v>
      </c>
      <c r="C721" t="s">
        <v>2065</v>
      </c>
      <c r="D721" t="s">
        <v>674</v>
      </c>
      <c r="E721">
        <v>19600</v>
      </c>
      <c r="F721" t="s">
        <v>0</v>
      </c>
      <c r="G721" t="s">
        <v>1606</v>
      </c>
      <c r="H721" t="s">
        <v>1425</v>
      </c>
      <c r="I721" t="s">
        <v>1426</v>
      </c>
      <c r="J721" t="s">
        <v>1426</v>
      </c>
      <c r="O721">
        <v>1403</v>
      </c>
      <c r="P721" t="str">
        <f t="shared" si="56"/>
        <v>SANDALYE ELMA BF AS HOME</v>
      </c>
      <c r="Q721" s="1">
        <f t="shared" si="57"/>
        <v>2700</v>
      </c>
      <c r="R721" t="str">
        <f t="shared" si="58"/>
        <v>TL</v>
      </c>
      <c r="S721" t="str">
        <f t="shared" si="59"/>
        <v>MASA-SAND-SEHPA-ZİGON</v>
      </c>
      <c r="T721" t="str">
        <f t="shared" si="55"/>
        <v>mssz</v>
      </c>
    </row>
    <row r="722" spans="1:20" x14ac:dyDescent="0.25">
      <c r="A722" t="s">
        <v>1422</v>
      </c>
      <c r="B722">
        <v>1329</v>
      </c>
      <c r="C722" t="s">
        <v>1597</v>
      </c>
      <c r="D722" t="s">
        <v>675</v>
      </c>
      <c r="E722">
        <v>1750</v>
      </c>
      <c r="F722" t="s">
        <v>0</v>
      </c>
      <c r="G722" t="s">
        <v>1560</v>
      </c>
      <c r="H722" t="s">
        <v>1425</v>
      </c>
      <c r="I722" t="s">
        <v>1426</v>
      </c>
      <c r="J722" t="s">
        <v>1426</v>
      </c>
      <c r="O722">
        <v>1413</v>
      </c>
      <c r="P722" t="str">
        <f t="shared" si="56"/>
        <v>SANDALYE LİYA BF AS HOME</v>
      </c>
      <c r="Q722" s="1">
        <f t="shared" si="57"/>
        <v>3600</v>
      </c>
      <c r="R722" t="str">
        <f t="shared" si="58"/>
        <v>TL</v>
      </c>
      <c r="S722" t="str">
        <f t="shared" si="59"/>
        <v>MASA-SAND-SEHPA-ZİGON</v>
      </c>
      <c r="T722" t="str">
        <f t="shared" si="55"/>
        <v>mssz</v>
      </c>
    </row>
    <row r="723" spans="1:20" x14ac:dyDescent="0.25">
      <c r="A723" t="s">
        <v>1422</v>
      </c>
      <c r="B723">
        <v>1330</v>
      </c>
      <c r="C723" t="s">
        <v>1749</v>
      </c>
      <c r="D723" t="s">
        <v>676</v>
      </c>
      <c r="E723">
        <v>1500</v>
      </c>
      <c r="F723" t="s">
        <v>0</v>
      </c>
      <c r="G723" t="s">
        <v>1424</v>
      </c>
      <c r="H723" t="s">
        <v>1425</v>
      </c>
      <c r="I723" t="s">
        <v>1426</v>
      </c>
      <c r="J723" t="s">
        <v>1426</v>
      </c>
      <c r="O723">
        <v>1418</v>
      </c>
      <c r="P723" t="str">
        <f t="shared" si="56"/>
        <v>SANDALYE GOLD AS HOME</v>
      </c>
      <c r="Q723" s="1">
        <f t="shared" si="57"/>
        <v>2800</v>
      </c>
      <c r="R723" t="str">
        <f t="shared" si="58"/>
        <v>TL</v>
      </c>
      <c r="S723" t="str">
        <f t="shared" si="59"/>
        <v>MASA-SAND-SEHPA-ZİGON</v>
      </c>
      <c r="T723" t="str">
        <f t="shared" ref="T723:T730" si="60">IF(S723="KEA","kea",IF(S723="MOBİLYA","mobilya",IF(S723="TÜP","tup",IF(S723="MASA-SAND-SEHPA-ZİGON","mssz",IF(S723="ENDÜSTRİYEL","endustriyel",IF(S723="YEDEK PARÇA","diger",""))))))</f>
        <v>mssz</v>
      </c>
    </row>
    <row r="724" spans="1:20" x14ac:dyDescent="0.25">
      <c r="A724" t="s">
        <v>1422</v>
      </c>
      <c r="B724">
        <v>1331</v>
      </c>
      <c r="C724" t="s">
        <v>1755</v>
      </c>
      <c r="D724" t="s">
        <v>677</v>
      </c>
      <c r="E724">
        <v>1500</v>
      </c>
      <c r="F724" t="s">
        <v>0</v>
      </c>
      <c r="G724" t="s">
        <v>1424</v>
      </c>
      <c r="H724" t="s">
        <v>1425</v>
      </c>
      <c r="I724" t="s">
        <v>1426</v>
      </c>
      <c r="J724" t="s">
        <v>1426</v>
      </c>
      <c r="O724">
        <v>1425</v>
      </c>
      <c r="P724" t="str">
        <f t="shared" si="56"/>
        <v>MASA SİLVA KİTABELİ YARIM AYAK FYZ</v>
      </c>
      <c r="Q724" s="1">
        <f t="shared" si="57"/>
        <v>19000</v>
      </c>
      <c r="R724" t="str">
        <f t="shared" si="58"/>
        <v>TL</v>
      </c>
      <c r="S724" t="str">
        <f t="shared" si="59"/>
        <v>MASA-SAND-SEHPA-ZİGON</v>
      </c>
      <c r="T724" t="str">
        <f t="shared" si="60"/>
        <v>mssz</v>
      </c>
    </row>
    <row r="725" spans="1:20" x14ac:dyDescent="0.25">
      <c r="A725" t="s">
        <v>1422</v>
      </c>
      <c r="B725">
        <v>1332</v>
      </c>
      <c r="C725" t="s">
        <v>1768</v>
      </c>
      <c r="D725" t="s">
        <v>678</v>
      </c>
      <c r="E725">
        <v>1050</v>
      </c>
      <c r="F725" t="s">
        <v>0</v>
      </c>
      <c r="G725" t="s">
        <v>1424</v>
      </c>
      <c r="H725" t="s">
        <v>1425</v>
      </c>
      <c r="I725" t="s">
        <v>1426</v>
      </c>
      <c r="J725" t="s">
        <v>1426</v>
      </c>
      <c r="O725">
        <v>1426</v>
      </c>
      <c r="P725" t="str">
        <f t="shared" si="56"/>
        <v>MASA ESTELYA (FYZ)</v>
      </c>
      <c r="Q725" s="1">
        <f t="shared" si="57"/>
        <v>15000</v>
      </c>
      <c r="R725" t="str">
        <f t="shared" si="58"/>
        <v>TL</v>
      </c>
      <c r="S725" t="str">
        <f t="shared" si="59"/>
        <v>MASA-SAND-SEHPA-ZİGON</v>
      </c>
      <c r="T725" t="str">
        <f t="shared" si="60"/>
        <v>mssz</v>
      </c>
    </row>
    <row r="726" spans="1:20" x14ac:dyDescent="0.25">
      <c r="A726" t="s">
        <v>1422</v>
      </c>
      <c r="B726">
        <v>1333</v>
      </c>
      <c r="C726" t="s">
        <v>2058</v>
      </c>
      <c r="D726" t="s">
        <v>679</v>
      </c>
      <c r="E726">
        <v>25</v>
      </c>
      <c r="F726" t="s">
        <v>0</v>
      </c>
      <c r="G726" t="s">
        <v>1553</v>
      </c>
      <c r="H726" t="s">
        <v>1425</v>
      </c>
      <c r="I726" t="s">
        <v>1426</v>
      </c>
      <c r="J726" t="s">
        <v>1426</v>
      </c>
      <c r="O726">
        <v>1427</v>
      </c>
      <c r="P726" t="str">
        <f t="shared" si="56"/>
        <v>MASA LAK 80*130  X AYAK SÜRGÜLÜ</v>
      </c>
      <c r="Q726" s="1">
        <f t="shared" si="57"/>
        <v>13000</v>
      </c>
      <c r="R726" t="str">
        <f t="shared" si="58"/>
        <v>TL</v>
      </c>
      <c r="S726" t="str">
        <f t="shared" si="59"/>
        <v>MASA-SAND-SEHPA-ZİGON</v>
      </c>
      <c r="T726" t="str">
        <f t="shared" si="60"/>
        <v>mssz</v>
      </c>
    </row>
    <row r="727" spans="1:20" x14ac:dyDescent="0.25">
      <c r="A727" t="s">
        <v>1422</v>
      </c>
      <c r="B727">
        <v>1335</v>
      </c>
      <c r="C727" t="s">
        <v>1900</v>
      </c>
      <c r="D727" t="s">
        <v>680</v>
      </c>
      <c r="E727">
        <v>485</v>
      </c>
      <c r="F727" t="s">
        <v>0</v>
      </c>
      <c r="G727" t="s">
        <v>1553</v>
      </c>
      <c r="H727" t="s">
        <v>1425</v>
      </c>
      <c r="I727" t="s">
        <v>1426</v>
      </c>
      <c r="J727" t="s">
        <v>1426</v>
      </c>
      <c r="O727">
        <v>1428</v>
      </c>
      <c r="P727" t="str">
        <f t="shared" si="56"/>
        <v>MASA MDF KELEBEK GARDİON GRİ MERMER</v>
      </c>
      <c r="Q727" s="1">
        <f t="shared" si="57"/>
        <v>7000</v>
      </c>
      <c r="R727" t="str">
        <f t="shared" si="58"/>
        <v>TL</v>
      </c>
      <c r="S727" t="str">
        <f t="shared" si="59"/>
        <v>MASA-SAND-SEHPA-ZİGON</v>
      </c>
      <c r="T727" t="str">
        <f t="shared" si="60"/>
        <v>mssz</v>
      </c>
    </row>
    <row r="728" spans="1:20" x14ac:dyDescent="0.25">
      <c r="A728" t="s">
        <v>1422</v>
      </c>
      <c r="B728">
        <v>1336</v>
      </c>
      <c r="C728" t="s">
        <v>2233</v>
      </c>
      <c r="D728" t="s">
        <v>832</v>
      </c>
      <c r="E728">
        <v>13500</v>
      </c>
      <c r="F728" t="s">
        <v>0</v>
      </c>
      <c r="G728" t="s">
        <v>1560</v>
      </c>
      <c r="H728" t="s">
        <v>1425</v>
      </c>
      <c r="I728" t="s">
        <v>1426</v>
      </c>
      <c r="J728" t="s">
        <v>1426</v>
      </c>
      <c r="O728">
        <v>1429</v>
      </c>
      <c r="P728" t="str">
        <f t="shared" si="56"/>
        <v>MASA MDF KELEBEK CARARA BEYAZ MERMER</v>
      </c>
      <c r="Q728" s="1">
        <f t="shared" si="57"/>
        <v>7000</v>
      </c>
      <c r="R728" t="str">
        <f t="shared" si="58"/>
        <v>TL</v>
      </c>
      <c r="S728" t="str">
        <f t="shared" si="59"/>
        <v>MASA-SAND-SEHPA-ZİGON</v>
      </c>
      <c r="T728" t="str">
        <f t="shared" si="60"/>
        <v>mssz</v>
      </c>
    </row>
    <row r="729" spans="1:20" x14ac:dyDescent="0.25">
      <c r="A729" t="s">
        <v>1422</v>
      </c>
      <c r="B729">
        <v>1337</v>
      </c>
      <c r="C729" t="s">
        <v>1614</v>
      </c>
      <c r="D729" t="s">
        <v>681</v>
      </c>
      <c r="E729">
        <v>3000</v>
      </c>
      <c r="F729" t="s">
        <v>0</v>
      </c>
      <c r="G729" t="s">
        <v>1525</v>
      </c>
      <c r="H729" t="s">
        <v>1425</v>
      </c>
      <c r="I729" t="s">
        <v>1426</v>
      </c>
      <c r="J729" t="s">
        <v>1426</v>
      </c>
      <c r="O729">
        <v>1430</v>
      </c>
      <c r="P729" t="str">
        <f t="shared" si="56"/>
        <v>MASA MDF KELEBEK</v>
      </c>
      <c r="Q729" s="1">
        <f t="shared" si="57"/>
        <v>7000</v>
      </c>
      <c r="R729" t="str">
        <f t="shared" si="58"/>
        <v>TL</v>
      </c>
      <c r="S729" t="str">
        <f t="shared" si="59"/>
        <v>MASA-SAND-SEHPA-ZİGON</v>
      </c>
      <c r="T729" t="str">
        <f t="shared" si="60"/>
        <v>mssz</v>
      </c>
    </row>
    <row r="730" spans="1:20" x14ac:dyDescent="0.25">
      <c r="A730" t="s">
        <v>1422</v>
      </c>
      <c r="B730">
        <v>1338</v>
      </c>
      <c r="C730" t="s">
        <v>2046</v>
      </c>
      <c r="D730" t="s">
        <v>682</v>
      </c>
      <c r="E730">
        <v>1050</v>
      </c>
      <c r="F730" t="s">
        <v>0</v>
      </c>
      <c r="G730" t="s">
        <v>1424</v>
      </c>
      <c r="H730" t="s">
        <v>1425</v>
      </c>
      <c r="I730" t="s">
        <v>1426</v>
      </c>
      <c r="J730" t="s">
        <v>1426</v>
      </c>
      <c r="O730">
        <v>1434</v>
      </c>
      <c r="P730" t="str">
        <f t="shared" si="56"/>
        <v>MASA SUNTA SABİT</v>
      </c>
      <c r="Q730" s="1">
        <f t="shared" si="57"/>
        <v>5000</v>
      </c>
      <c r="R730" t="str">
        <f t="shared" si="58"/>
        <v>TL</v>
      </c>
      <c r="S730" t="str">
        <f t="shared" si="59"/>
        <v>MASA-SAND-SEHPA-ZİGON</v>
      </c>
      <c r="T730" t="str">
        <f t="shared" si="60"/>
        <v>mssz</v>
      </c>
    </row>
    <row r="731" spans="1:20" x14ac:dyDescent="0.25">
      <c r="A731" t="s">
        <v>1422</v>
      </c>
      <c r="B731">
        <v>1339</v>
      </c>
      <c r="C731" t="s">
        <v>1507</v>
      </c>
      <c r="D731" t="s">
        <v>683</v>
      </c>
      <c r="E731">
        <v>2500</v>
      </c>
      <c r="F731" t="s">
        <v>0</v>
      </c>
      <c r="G731" t="s">
        <v>1424</v>
      </c>
      <c r="H731" t="s">
        <v>1425</v>
      </c>
      <c r="I731" t="s">
        <v>1426</v>
      </c>
      <c r="J731" t="s">
        <v>1426</v>
      </c>
      <c r="O731">
        <v>1438</v>
      </c>
      <c r="P731" t="str">
        <f t="shared" si="56"/>
        <v>TOST MAKİNESİ ESSENCE</v>
      </c>
      <c r="Q731" s="1">
        <f t="shared" si="57"/>
        <v>3300</v>
      </c>
      <c r="R731" t="str">
        <f t="shared" si="58"/>
        <v>TL</v>
      </c>
      <c r="S731" t="str">
        <f t="shared" si="59"/>
        <v>KEA</v>
      </c>
      <c r="T731" t="str">
        <f t="shared" ref="T731:T772" si="61">IF(S731="KEA","kea",IF(S731="MOBİLYA","mobilya",IF(S731="TÜP","tup",IF(S731="MASA-SAND-SEHPA-ZİGON","mssz",IF(S731="ENDÜSTRİYEL","endustriyel",IF(S731="YEDEK PARÇA","diger",""))))))</f>
        <v>kea</v>
      </c>
    </row>
    <row r="732" spans="1:20" x14ac:dyDescent="0.25">
      <c r="A732" t="s">
        <v>1422</v>
      </c>
      <c r="B732">
        <v>1340</v>
      </c>
      <c r="C732" t="s">
        <v>1508</v>
      </c>
      <c r="D732" t="s">
        <v>684</v>
      </c>
      <c r="E732">
        <v>2500</v>
      </c>
      <c r="F732" t="s">
        <v>0</v>
      </c>
      <c r="G732" t="s">
        <v>1424</v>
      </c>
      <c r="H732" t="s">
        <v>1425</v>
      </c>
      <c r="I732" t="s">
        <v>1426</v>
      </c>
      <c r="J732" t="s">
        <v>1426</v>
      </c>
      <c r="O732">
        <v>1441</v>
      </c>
      <c r="P732" t="str">
        <f t="shared" si="56"/>
        <v>3 LÜ KOLLEKTÖR</v>
      </c>
      <c r="Q732" s="1">
        <f t="shared" si="57"/>
        <v>2000</v>
      </c>
      <c r="R732" t="str">
        <f t="shared" si="58"/>
        <v>TL</v>
      </c>
      <c r="S732" t="str">
        <f t="shared" si="59"/>
        <v>YEDEK PARÇA</v>
      </c>
      <c r="T732" t="str">
        <f t="shared" si="61"/>
        <v>diger</v>
      </c>
    </row>
    <row r="733" spans="1:20" x14ac:dyDescent="0.25">
      <c r="A733" t="s">
        <v>1422</v>
      </c>
      <c r="B733">
        <v>1341</v>
      </c>
      <c r="C733" t="s">
        <v>1510</v>
      </c>
      <c r="D733" t="s">
        <v>685</v>
      </c>
      <c r="E733">
        <v>3800</v>
      </c>
      <c r="F733" t="s">
        <v>0</v>
      </c>
      <c r="G733" t="s">
        <v>1424</v>
      </c>
      <c r="H733" t="s">
        <v>1425</v>
      </c>
      <c r="I733" t="s">
        <v>1426</v>
      </c>
      <c r="J733" t="s">
        <v>1426</v>
      </c>
      <c r="O733">
        <v>1446</v>
      </c>
      <c r="P733" t="str">
        <f t="shared" si="56"/>
        <v>GAZ ALARM CİHAZI</v>
      </c>
      <c r="Q733" s="1">
        <f t="shared" si="57"/>
        <v>1200</v>
      </c>
      <c r="R733" t="str">
        <f t="shared" si="58"/>
        <v>TL</v>
      </c>
      <c r="S733" t="str">
        <f t="shared" si="59"/>
        <v>YEDEK PARÇA</v>
      </c>
      <c r="T733" t="str">
        <f t="shared" si="61"/>
        <v>diger</v>
      </c>
    </row>
    <row r="734" spans="1:20" x14ac:dyDescent="0.25">
      <c r="A734" t="s">
        <v>1422</v>
      </c>
      <c r="B734">
        <v>1342</v>
      </c>
      <c r="C734" t="s">
        <v>1517</v>
      </c>
      <c r="D734" t="s">
        <v>686</v>
      </c>
      <c r="E734">
        <v>2450</v>
      </c>
      <c r="F734" t="s">
        <v>0</v>
      </c>
      <c r="G734" t="s">
        <v>1424</v>
      </c>
      <c r="H734" t="s">
        <v>1425</v>
      </c>
      <c r="I734" t="s">
        <v>1426</v>
      </c>
      <c r="J734" t="s">
        <v>1426</v>
      </c>
      <c r="O734">
        <v>1447</v>
      </c>
      <c r="P734" t="str">
        <f t="shared" si="56"/>
        <v>MASA SİLVA SABİT OFLU</v>
      </c>
      <c r="Q734" s="1">
        <f t="shared" si="57"/>
        <v>15000</v>
      </c>
      <c r="R734" t="str">
        <f t="shared" si="58"/>
        <v>TL</v>
      </c>
      <c r="S734" t="str">
        <f t="shared" si="59"/>
        <v>MASA-SAND-SEHPA-ZİGON</v>
      </c>
      <c r="T734" t="str">
        <f t="shared" si="61"/>
        <v>mssz</v>
      </c>
    </row>
    <row r="735" spans="1:20" x14ac:dyDescent="0.25">
      <c r="A735" t="s">
        <v>1422</v>
      </c>
      <c r="B735">
        <v>1343</v>
      </c>
      <c r="C735" t="s">
        <v>1509</v>
      </c>
      <c r="D735" t="s">
        <v>687</v>
      </c>
      <c r="E735">
        <v>1500</v>
      </c>
      <c r="F735" t="s">
        <v>0</v>
      </c>
      <c r="G735" t="s">
        <v>1424</v>
      </c>
      <c r="H735" t="s">
        <v>1425</v>
      </c>
      <c r="I735" t="s">
        <v>1426</v>
      </c>
      <c r="J735" t="s">
        <v>1426</v>
      </c>
      <c r="O735">
        <v>1450</v>
      </c>
      <c r="P735" t="str">
        <f t="shared" si="56"/>
        <v>SEKRETER KOLTUĞU ATLAS MÜDÜR</v>
      </c>
      <c r="Q735" s="1">
        <f t="shared" si="57"/>
        <v>5400</v>
      </c>
      <c r="R735" t="str">
        <f t="shared" si="58"/>
        <v>TL</v>
      </c>
      <c r="S735" t="str">
        <f t="shared" si="59"/>
        <v>MOBİLYA</v>
      </c>
      <c r="T735" t="str">
        <f t="shared" si="61"/>
        <v>mobilya</v>
      </c>
    </row>
    <row r="736" spans="1:20" x14ac:dyDescent="0.25">
      <c r="A736" t="s">
        <v>1422</v>
      </c>
      <c r="B736">
        <v>1344</v>
      </c>
      <c r="C736" t="s">
        <v>1512</v>
      </c>
      <c r="D736" t="s">
        <v>688</v>
      </c>
      <c r="E736">
        <v>1150</v>
      </c>
      <c r="F736" t="s">
        <v>0</v>
      </c>
      <c r="G736" t="s">
        <v>1424</v>
      </c>
      <c r="H736" t="s">
        <v>1425</v>
      </c>
      <c r="I736" t="s">
        <v>1426</v>
      </c>
      <c r="J736" t="s">
        <v>1426</v>
      </c>
      <c r="O736">
        <v>1452</v>
      </c>
      <c r="P736" t="str">
        <f t="shared" si="56"/>
        <v>SÜPÜRGE FANTOM PRATİC-S P 1200 KURU</v>
      </c>
      <c r="Q736" s="1">
        <f t="shared" si="57"/>
        <v>5000</v>
      </c>
      <c r="R736" t="str">
        <f t="shared" si="58"/>
        <v>TL</v>
      </c>
      <c r="S736" t="str">
        <f t="shared" si="59"/>
        <v>KEA</v>
      </c>
      <c r="T736" t="str">
        <f t="shared" si="61"/>
        <v>kea</v>
      </c>
    </row>
    <row r="737" spans="1:20" x14ac:dyDescent="0.25">
      <c r="A737" t="s">
        <v>1422</v>
      </c>
      <c r="B737">
        <v>1345</v>
      </c>
      <c r="C737" t="s">
        <v>1514</v>
      </c>
      <c r="D737" t="s">
        <v>689</v>
      </c>
      <c r="E737">
        <v>1150</v>
      </c>
      <c r="F737" t="s">
        <v>0</v>
      </c>
      <c r="G737" t="s">
        <v>1424</v>
      </c>
      <c r="H737" t="s">
        <v>1425</v>
      </c>
      <c r="I737" t="s">
        <v>1426</v>
      </c>
      <c r="J737" t="s">
        <v>1426</v>
      </c>
      <c r="O737">
        <v>1455</v>
      </c>
      <c r="P737" t="str">
        <f t="shared" si="56"/>
        <v>SEBİL SUNDAY</v>
      </c>
      <c r="Q737" s="1">
        <f t="shared" si="57"/>
        <v>16000</v>
      </c>
      <c r="R737" t="str">
        <f t="shared" si="58"/>
        <v>TL</v>
      </c>
      <c r="S737" t="str">
        <f t="shared" si="59"/>
        <v>KEA</v>
      </c>
      <c r="T737" t="str">
        <f t="shared" si="61"/>
        <v>kea</v>
      </c>
    </row>
    <row r="738" spans="1:20" x14ac:dyDescent="0.25">
      <c r="A738" t="s">
        <v>1422</v>
      </c>
      <c r="B738">
        <v>1346</v>
      </c>
      <c r="C738" t="s">
        <v>1875</v>
      </c>
      <c r="D738" t="s">
        <v>690</v>
      </c>
      <c r="E738">
        <v>2600</v>
      </c>
      <c r="F738" t="s">
        <v>0</v>
      </c>
      <c r="G738" t="s">
        <v>1424</v>
      </c>
      <c r="H738" t="s">
        <v>1425</v>
      </c>
      <c r="I738" t="s">
        <v>1426</v>
      </c>
      <c r="J738" t="s">
        <v>1426</v>
      </c>
      <c r="O738">
        <v>1456</v>
      </c>
      <c r="P738" t="str">
        <f t="shared" si="56"/>
        <v>SAÇ KURUTMA MAKİNESİ CVS MİMAS</v>
      </c>
      <c r="Q738" s="1">
        <f t="shared" si="57"/>
        <v>1500</v>
      </c>
      <c r="R738" t="str">
        <f t="shared" si="58"/>
        <v>TL</v>
      </c>
      <c r="S738" t="str">
        <f t="shared" si="59"/>
        <v>KEA</v>
      </c>
      <c r="T738" t="str">
        <f t="shared" si="61"/>
        <v>kea</v>
      </c>
    </row>
    <row r="739" spans="1:20" x14ac:dyDescent="0.25">
      <c r="A739" t="s">
        <v>1422</v>
      </c>
      <c r="B739">
        <v>1347</v>
      </c>
      <c r="C739" t="s">
        <v>1876</v>
      </c>
      <c r="D739" t="s">
        <v>691</v>
      </c>
      <c r="E739">
        <v>2600</v>
      </c>
      <c r="F739" t="s">
        <v>0</v>
      </c>
      <c r="G739" t="s">
        <v>1424</v>
      </c>
      <c r="H739" t="s">
        <v>1425</v>
      </c>
      <c r="I739" t="s">
        <v>1426</v>
      </c>
      <c r="J739" t="s">
        <v>1426</v>
      </c>
      <c r="O739">
        <v>1457</v>
      </c>
      <c r="P739" t="str">
        <f t="shared" si="56"/>
        <v>SAÇ KURUTMA MAKİNESİ RAKS KATLANABİLİR RK-1750</v>
      </c>
      <c r="Q739" s="1">
        <f t="shared" si="57"/>
        <v>1500</v>
      </c>
      <c r="R739" t="str">
        <f t="shared" si="58"/>
        <v>TL</v>
      </c>
      <c r="S739" t="str">
        <f t="shared" si="59"/>
        <v>KEA</v>
      </c>
      <c r="T739" t="str">
        <f t="shared" si="61"/>
        <v>kea</v>
      </c>
    </row>
    <row r="740" spans="1:20" x14ac:dyDescent="0.25">
      <c r="A740" t="s">
        <v>1422</v>
      </c>
      <c r="B740">
        <v>1348</v>
      </c>
      <c r="C740" t="s">
        <v>1544</v>
      </c>
      <c r="D740" t="s">
        <v>692</v>
      </c>
      <c r="E740">
        <v>4500</v>
      </c>
      <c r="F740" t="s">
        <v>0</v>
      </c>
      <c r="G740" t="s">
        <v>1424</v>
      </c>
      <c r="H740" t="s">
        <v>1425</v>
      </c>
      <c r="I740" t="s">
        <v>1426</v>
      </c>
      <c r="J740" t="s">
        <v>1426</v>
      </c>
      <c r="O740">
        <v>1458</v>
      </c>
      <c r="P740" t="str">
        <f t="shared" si="56"/>
        <v>EPİLATÖR REMİNGTON</v>
      </c>
      <c r="Q740" s="1">
        <f t="shared" si="57"/>
        <v>3000</v>
      </c>
      <c r="R740" t="str">
        <f t="shared" si="58"/>
        <v>TL</v>
      </c>
      <c r="S740" t="str">
        <f t="shared" si="59"/>
        <v>KEA</v>
      </c>
      <c r="T740" t="str">
        <f t="shared" si="61"/>
        <v>kea</v>
      </c>
    </row>
    <row r="741" spans="1:20" x14ac:dyDescent="0.25">
      <c r="A741" t="s">
        <v>1422</v>
      </c>
      <c r="B741">
        <v>1349</v>
      </c>
      <c r="C741" t="s">
        <v>1549</v>
      </c>
      <c r="D741" t="s">
        <v>693</v>
      </c>
      <c r="E741">
        <v>5000</v>
      </c>
      <c r="F741" t="s">
        <v>0</v>
      </c>
      <c r="G741" t="s">
        <v>1424</v>
      </c>
      <c r="H741" t="s">
        <v>1425</v>
      </c>
      <c r="I741" t="s">
        <v>1426</v>
      </c>
      <c r="J741" t="s">
        <v>1426</v>
      </c>
      <c r="O741">
        <v>1459</v>
      </c>
      <c r="P741" t="str">
        <f t="shared" si="56"/>
        <v>SAÇ MAŞASI CONTİ</v>
      </c>
      <c r="Q741" s="1">
        <f t="shared" si="57"/>
        <v>1700</v>
      </c>
      <c r="R741" t="str">
        <f t="shared" si="58"/>
        <v>TL</v>
      </c>
      <c r="S741" t="str">
        <f t="shared" si="59"/>
        <v>KEA</v>
      </c>
      <c r="T741" t="str">
        <f t="shared" si="61"/>
        <v>kea</v>
      </c>
    </row>
    <row r="742" spans="1:20" x14ac:dyDescent="0.25">
      <c r="A742" t="s">
        <v>1422</v>
      </c>
      <c r="B742">
        <v>1350</v>
      </c>
      <c r="C742" t="s">
        <v>1545</v>
      </c>
      <c r="D742" t="s">
        <v>694</v>
      </c>
      <c r="E742">
        <v>4500</v>
      </c>
      <c r="F742" t="s">
        <v>0</v>
      </c>
      <c r="G742" t="s">
        <v>1424</v>
      </c>
      <c r="H742" t="s">
        <v>1425</v>
      </c>
      <c r="I742" t="s">
        <v>1426</v>
      </c>
      <c r="J742" t="s">
        <v>1426</v>
      </c>
      <c r="O742">
        <v>1460</v>
      </c>
      <c r="P742" t="str">
        <f t="shared" si="56"/>
        <v>ÜTÜ CVS RANGER</v>
      </c>
      <c r="Q742" s="1">
        <f t="shared" si="57"/>
        <v>0</v>
      </c>
      <c r="R742" t="str">
        <f t="shared" si="58"/>
        <v>TL</v>
      </c>
      <c r="S742" t="str">
        <f t="shared" si="59"/>
        <v>KEA</v>
      </c>
      <c r="T742" t="str">
        <f t="shared" si="61"/>
        <v>kea</v>
      </c>
    </row>
    <row r="743" spans="1:20" x14ac:dyDescent="0.25">
      <c r="A743" t="s">
        <v>1422</v>
      </c>
      <c r="B743">
        <v>1351</v>
      </c>
      <c r="C743" t="s">
        <v>1543</v>
      </c>
      <c r="D743" t="s">
        <v>695</v>
      </c>
      <c r="E743">
        <v>4500</v>
      </c>
      <c r="F743" t="s">
        <v>0</v>
      </c>
      <c r="G743" t="s">
        <v>1424</v>
      </c>
      <c r="H743" t="s">
        <v>1425</v>
      </c>
      <c r="I743" t="s">
        <v>1426</v>
      </c>
      <c r="J743" t="s">
        <v>1426</v>
      </c>
      <c r="O743">
        <v>1461</v>
      </c>
      <c r="P743" t="str">
        <f t="shared" si="56"/>
        <v>ÜTÜ FAKİR SKYGO</v>
      </c>
      <c r="Q743" s="1">
        <f t="shared" si="57"/>
        <v>5100</v>
      </c>
      <c r="R743" t="str">
        <f t="shared" si="58"/>
        <v>TL</v>
      </c>
      <c r="S743" t="str">
        <f t="shared" si="59"/>
        <v>KEA</v>
      </c>
      <c r="T743" t="str">
        <f t="shared" si="61"/>
        <v>kea</v>
      </c>
    </row>
    <row r="744" spans="1:20" x14ac:dyDescent="0.25">
      <c r="A744" t="s">
        <v>1422</v>
      </c>
      <c r="B744">
        <v>1352</v>
      </c>
      <c r="C744" t="s">
        <v>1442</v>
      </c>
      <c r="D744" t="s">
        <v>696</v>
      </c>
      <c r="E744">
        <v>3000</v>
      </c>
      <c r="F744" t="s">
        <v>0</v>
      </c>
      <c r="G744" t="s">
        <v>1424</v>
      </c>
      <c r="H744" t="s">
        <v>1425</v>
      </c>
      <c r="I744" t="s">
        <v>1426</v>
      </c>
      <c r="J744" t="s">
        <v>1426</v>
      </c>
      <c r="O744">
        <v>1462</v>
      </c>
      <c r="P744" t="str">
        <f t="shared" si="56"/>
        <v>FİLTRE KAHVE MAKİNESİ GOLDMASTER ZİNDE</v>
      </c>
      <c r="Q744" s="1">
        <f t="shared" si="57"/>
        <v>4000</v>
      </c>
      <c r="R744" t="str">
        <f t="shared" si="58"/>
        <v>TL</v>
      </c>
      <c r="S744" t="str">
        <f t="shared" si="59"/>
        <v>KEA</v>
      </c>
      <c r="T744" t="str">
        <f t="shared" si="61"/>
        <v>kea</v>
      </c>
    </row>
    <row r="745" spans="1:20" x14ac:dyDescent="0.25">
      <c r="A745" t="s">
        <v>1422</v>
      </c>
      <c r="B745">
        <v>1353</v>
      </c>
      <c r="C745" t="s">
        <v>1877</v>
      </c>
      <c r="D745" t="s">
        <v>697</v>
      </c>
      <c r="E745">
        <v>4500</v>
      </c>
      <c r="F745" t="s">
        <v>0</v>
      </c>
      <c r="G745" t="s">
        <v>1424</v>
      </c>
      <c r="H745" t="s">
        <v>1425</v>
      </c>
      <c r="I745" t="s">
        <v>1426</v>
      </c>
      <c r="J745" t="s">
        <v>1426</v>
      </c>
      <c r="O745">
        <v>1463</v>
      </c>
      <c r="P745" t="str">
        <f t="shared" si="56"/>
        <v>SÜPÜRGE VESTEL LODOS H8000</v>
      </c>
      <c r="Q745" s="1">
        <f t="shared" si="57"/>
        <v>9800</v>
      </c>
      <c r="R745" t="str">
        <f t="shared" si="58"/>
        <v>TL</v>
      </c>
      <c r="S745" t="str">
        <f t="shared" si="59"/>
        <v>KEA</v>
      </c>
      <c r="T745" t="str">
        <f t="shared" si="61"/>
        <v>kea</v>
      </c>
    </row>
    <row r="746" spans="1:20" x14ac:dyDescent="0.25">
      <c r="A746" t="s">
        <v>1422</v>
      </c>
      <c r="B746">
        <v>1354</v>
      </c>
      <c r="C746" t="s">
        <v>1865</v>
      </c>
      <c r="D746" t="s">
        <v>698</v>
      </c>
      <c r="E746">
        <v>4750</v>
      </c>
      <c r="F746" t="s">
        <v>0</v>
      </c>
      <c r="G746" t="s">
        <v>1424</v>
      </c>
      <c r="H746" t="s">
        <v>1425</v>
      </c>
      <c r="I746" t="s">
        <v>1426</v>
      </c>
      <c r="J746" t="s">
        <v>1426</v>
      </c>
      <c r="O746">
        <v>1464</v>
      </c>
      <c r="P746" t="str">
        <f t="shared" si="56"/>
        <v>SANDALYE ADA AS HOME 07 SİYAH</v>
      </c>
      <c r="Q746" s="1">
        <f t="shared" si="57"/>
        <v>3600</v>
      </c>
      <c r="R746" t="str">
        <f t="shared" si="58"/>
        <v>TL</v>
      </c>
      <c r="S746" t="str">
        <f t="shared" si="59"/>
        <v>MASA-SAND-SEHPA-ZİGON</v>
      </c>
      <c r="T746" t="str">
        <f t="shared" si="61"/>
        <v>mssz</v>
      </c>
    </row>
    <row r="747" spans="1:20" x14ac:dyDescent="0.25">
      <c r="A747" t="s">
        <v>1422</v>
      </c>
      <c r="B747">
        <v>1355</v>
      </c>
      <c r="C747" t="s">
        <v>1448</v>
      </c>
      <c r="D747" t="s">
        <v>699</v>
      </c>
      <c r="E747">
        <v>4750</v>
      </c>
      <c r="F747" t="s">
        <v>0</v>
      </c>
      <c r="G747" t="s">
        <v>1424</v>
      </c>
      <c r="H747" t="s">
        <v>1425</v>
      </c>
      <c r="I747" t="s">
        <v>1426</v>
      </c>
      <c r="J747" t="s">
        <v>1426</v>
      </c>
      <c r="O747">
        <v>1465</v>
      </c>
      <c r="P747" t="str">
        <f t="shared" si="56"/>
        <v>ASPİRATÖR MİKROLİNE ESKİ TİP</v>
      </c>
      <c r="Q747" s="1">
        <f t="shared" si="57"/>
        <v>4200</v>
      </c>
      <c r="R747" t="str">
        <f t="shared" si="58"/>
        <v>TL</v>
      </c>
      <c r="S747" t="str">
        <f t="shared" si="59"/>
        <v>KEA</v>
      </c>
      <c r="T747" t="str">
        <f t="shared" si="61"/>
        <v>kea</v>
      </c>
    </row>
    <row r="748" spans="1:20" x14ac:dyDescent="0.25">
      <c r="A748" t="s">
        <v>1422</v>
      </c>
      <c r="B748">
        <v>1356</v>
      </c>
      <c r="C748" t="s">
        <v>1452</v>
      </c>
      <c r="D748" t="s">
        <v>700</v>
      </c>
      <c r="E748">
        <v>4500</v>
      </c>
      <c r="F748" t="s">
        <v>0</v>
      </c>
      <c r="G748" t="s">
        <v>1424</v>
      </c>
      <c r="H748" t="s">
        <v>1425</v>
      </c>
      <c r="I748" t="s">
        <v>1426</v>
      </c>
      <c r="J748" t="s">
        <v>1426</v>
      </c>
      <c r="O748">
        <v>1466</v>
      </c>
      <c r="P748" t="str">
        <f t="shared" si="56"/>
        <v>METAL BAHÇE TEKLİ (ÖMÜR)</v>
      </c>
      <c r="Q748" s="1">
        <f t="shared" si="57"/>
        <v>4500</v>
      </c>
      <c r="R748" t="str">
        <f t="shared" si="58"/>
        <v>TL</v>
      </c>
      <c r="S748" t="str">
        <f t="shared" si="59"/>
        <v>MOBİLYA</v>
      </c>
      <c r="T748" t="str">
        <f t="shared" si="61"/>
        <v>mobilya</v>
      </c>
    </row>
    <row r="749" spans="1:20" x14ac:dyDescent="0.25">
      <c r="A749" t="s">
        <v>1422</v>
      </c>
      <c r="B749">
        <v>1357</v>
      </c>
      <c r="C749" t="s">
        <v>1522</v>
      </c>
      <c r="D749" t="s">
        <v>701</v>
      </c>
      <c r="E749">
        <v>1750</v>
      </c>
      <c r="F749" t="s">
        <v>0</v>
      </c>
      <c r="G749" t="s">
        <v>1424</v>
      </c>
      <c r="H749" t="s">
        <v>1425</v>
      </c>
      <c r="I749" t="s">
        <v>1426</v>
      </c>
      <c r="J749" t="s">
        <v>1426</v>
      </c>
      <c r="O749">
        <v>1467</v>
      </c>
      <c r="P749" t="str">
        <f t="shared" si="56"/>
        <v>METAL BAHÇE ÇİFTLİ (ÖMÜR)</v>
      </c>
      <c r="Q749" s="1">
        <f t="shared" si="57"/>
        <v>9000</v>
      </c>
      <c r="R749" t="str">
        <f t="shared" si="58"/>
        <v>TL</v>
      </c>
      <c r="S749" t="str">
        <f t="shared" si="59"/>
        <v>MOBİLYA</v>
      </c>
      <c r="T749" t="str">
        <f t="shared" si="61"/>
        <v>mobilya</v>
      </c>
    </row>
    <row r="750" spans="1:20" x14ac:dyDescent="0.25">
      <c r="A750" t="s">
        <v>1422</v>
      </c>
      <c r="B750">
        <v>1359</v>
      </c>
      <c r="C750" t="s">
        <v>2359</v>
      </c>
      <c r="D750" t="s">
        <v>702</v>
      </c>
      <c r="E750">
        <v>2350</v>
      </c>
      <c r="F750" t="s">
        <v>0</v>
      </c>
      <c r="G750" t="s">
        <v>1560</v>
      </c>
      <c r="H750" t="s">
        <v>1425</v>
      </c>
      <c r="I750" t="s">
        <v>1426</v>
      </c>
      <c r="J750" t="s">
        <v>1426</v>
      </c>
      <c r="O750">
        <v>1468</v>
      </c>
      <c r="P750" t="str">
        <f t="shared" si="56"/>
        <v>METAL BAHÇE ÜÇLÜ (ÖMÜR)</v>
      </c>
      <c r="Q750" s="1">
        <f t="shared" si="57"/>
        <v>13500</v>
      </c>
      <c r="R750" t="str">
        <f t="shared" si="58"/>
        <v>TL</v>
      </c>
      <c r="S750" t="str">
        <f t="shared" si="59"/>
        <v>MOBİLYA</v>
      </c>
      <c r="T750" t="str">
        <f t="shared" si="61"/>
        <v>mobilya</v>
      </c>
    </row>
    <row r="751" spans="1:20" x14ac:dyDescent="0.25">
      <c r="A751" t="s">
        <v>1422</v>
      </c>
      <c r="B751">
        <v>1360</v>
      </c>
      <c r="C751" t="s">
        <v>2360</v>
      </c>
      <c r="D751" t="s">
        <v>703</v>
      </c>
      <c r="E751">
        <v>2900</v>
      </c>
      <c r="F751" t="s">
        <v>0</v>
      </c>
      <c r="G751" t="s">
        <v>1560</v>
      </c>
      <c r="H751" t="s">
        <v>1425</v>
      </c>
      <c r="I751" t="s">
        <v>1426</v>
      </c>
      <c r="J751" t="s">
        <v>1426</v>
      </c>
      <c r="O751">
        <v>1469</v>
      </c>
      <c r="P751" t="str">
        <f t="shared" si="56"/>
        <v>KOMİDİN (İST)</v>
      </c>
      <c r="Q751" s="1">
        <f t="shared" si="57"/>
        <v>4000</v>
      </c>
      <c r="R751" t="str">
        <f t="shared" si="58"/>
        <v>TL</v>
      </c>
      <c r="S751" t="str">
        <f t="shared" si="59"/>
        <v>MOBİLYA</v>
      </c>
      <c r="T751" t="str">
        <f t="shared" si="61"/>
        <v>mobilya</v>
      </c>
    </row>
    <row r="752" spans="1:20" x14ac:dyDescent="0.25">
      <c r="A752" t="s">
        <v>1422</v>
      </c>
      <c r="B752">
        <v>1361</v>
      </c>
      <c r="C752" t="s">
        <v>2361</v>
      </c>
      <c r="D752" t="s">
        <v>704</v>
      </c>
      <c r="E752">
        <v>3500</v>
      </c>
      <c r="F752" t="s">
        <v>0</v>
      </c>
      <c r="G752" t="s">
        <v>1560</v>
      </c>
      <c r="H752" t="s">
        <v>1425</v>
      </c>
      <c r="I752" t="s">
        <v>1426</v>
      </c>
      <c r="J752" t="s">
        <v>1426</v>
      </c>
      <c r="O752">
        <v>1470</v>
      </c>
      <c r="P752" t="str">
        <f t="shared" si="56"/>
        <v>ŞİFONYER AYNALI (İST)</v>
      </c>
      <c r="Q752" s="1">
        <f t="shared" si="57"/>
        <v>10000</v>
      </c>
      <c r="R752" t="str">
        <f t="shared" si="58"/>
        <v>TL</v>
      </c>
      <c r="S752" t="str">
        <f t="shared" si="59"/>
        <v>MOBİLYA</v>
      </c>
      <c r="T752" t="str">
        <f t="shared" si="61"/>
        <v>mobilya</v>
      </c>
    </row>
    <row r="753" spans="1:20" x14ac:dyDescent="0.25">
      <c r="A753" t="s">
        <v>1422</v>
      </c>
      <c r="B753">
        <v>1362</v>
      </c>
      <c r="C753" t="s">
        <v>1843</v>
      </c>
      <c r="D753" t="s">
        <v>705</v>
      </c>
      <c r="E753">
        <v>1750</v>
      </c>
      <c r="F753" t="s">
        <v>0</v>
      </c>
      <c r="G753" t="s">
        <v>1525</v>
      </c>
      <c r="H753" t="s">
        <v>1425</v>
      </c>
      <c r="I753" t="s">
        <v>1426</v>
      </c>
      <c r="J753" t="s">
        <v>1426</v>
      </c>
      <c r="O753">
        <v>1471</v>
      </c>
      <c r="P753" t="str">
        <f t="shared" si="56"/>
        <v>UFO UĞUR MİKATRONİK ISISTICI 2000W</v>
      </c>
      <c r="Q753" s="1">
        <f t="shared" si="57"/>
        <v>0</v>
      </c>
      <c r="R753" t="str">
        <f t="shared" si="58"/>
        <v>TL</v>
      </c>
      <c r="S753" t="str">
        <f t="shared" si="59"/>
        <v>KEA</v>
      </c>
      <c r="T753" t="str">
        <f t="shared" si="61"/>
        <v>kea</v>
      </c>
    </row>
    <row r="754" spans="1:20" x14ac:dyDescent="0.25">
      <c r="A754" t="s">
        <v>1422</v>
      </c>
      <c r="B754">
        <v>1363</v>
      </c>
      <c r="C754" t="s">
        <v>1892</v>
      </c>
      <c r="D754" t="s">
        <v>706</v>
      </c>
      <c r="E754">
        <v>1150</v>
      </c>
      <c r="F754" t="s">
        <v>0</v>
      </c>
      <c r="G754" t="s">
        <v>1424</v>
      </c>
      <c r="H754" t="s">
        <v>1425</v>
      </c>
      <c r="I754" t="s">
        <v>1426</v>
      </c>
      <c r="J754" t="s">
        <v>1426</v>
      </c>
      <c r="O754">
        <v>1473</v>
      </c>
      <c r="P754" t="str">
        <f t="shared" ref="P754:P786" si="62">IFERROR(VLOOKUP(O754,$M:$N,2,0), VLOOKUP(O754,$B:$D,3,0))</f>
        <v>MASA MDF KELEBEK SONOMO</v>
      </c>
      <c r="Q754" s="1">
        <f t="shared" ref="Q754:Q786" si="63">VLOOKUP(O754,$B:$E,4,0)*2</f>
        <v>7000</v>
      </c>
      <c r="R754" t="str">
        <f t="shared" ref="R754:R786" si="64">VLOOKUP(O754,$B:$F,5,0)</f>
        <v>TL</v>
      </c>
      <c r="S754" t="str">
        <f t="shared" ref="S754:S786" si="65">VLOOKUP(O754,$B:$G,6,0)</f>
        <v>MASA-SAND-SEHPA-ZİGON</v>
      </c>
      <c r="T754" t="str">
        <f t="shared" si="61"/>
        <v>mssz</v>
      </c>
    </row>
    <row r="755" spans="1:20" x14ac:dyDescent="0.25">
      <c r="A755" t="s">
        <v>1422</v>
      </c>
      <c r="B755">
        <v>1364</v>
      </c>
      <c r="C755" t="s">
        <v>1893</v>
      </c>
      <c r="D755" t="s">
        <v>707</v>
      </c>
      <c r="E755">
        <v>1150</v>
      </c>
      <c r="F755" t="s">
        <v>0</v>
      </c>
      <c r="G755" t="s">
        <v>1424</v>
      </c>
      <c r="H755" t="s">
        <v>1425</v>
      </c>
      <c r="I755" t="s">
        <v>1426</v>
      </c>
      <c r="J755" t="s">
        <v>1426</v>
      </c>
      <c r="O755">
        <v>1474</v>
      </c>
      <c r="P755" t="str">
        <f t="shared" si="62"/>
        <v>MASA MDF KELEBEK DÜZ KRİSTAL</v>
      </c>
      <c r="Q755" s="1">
        <f t="shared" si="63"/>
        <v>7000</v>
      </c>
      <c r="R755" t="str">
        <f t="shared" si="64"/>
        <v>TL</v>
      </c>
      <c r="S755" t="str">
        <f t="shared" si="65"/>
        <v>MASA-SAND-SEHPA-ZİGON</v>
      </c>
      <c r="T755" t="str">
        <f t="shared" si="61"/>
        <v>mssz</v>
      </c>
    </row>
    <row r="756" spans="1:20" x14ac:dyDescent="0.25">
      <c r="A756" t="s">
        <v>1422</v>
      </c>
      <c r="B756">
        <v>1365</v>
      </c>
      <c r="C756" t="s">
        <v>1521</v>
      </c>
      <c r="D756" t="s">
        <v>708</v>
      </c>
      <c r="E756">
        <v>1800</v>
      </c>
      <c r="F756" t="s">
        <v>0</v>
      </c>
      <c r="G756" t="s">
        <v>1424</v>
      </c>
      <c r="H756" t="s">
        <v>1425</v>
      </c>
      <c r="I756" t="s">
        <v>1426</v>
      </c>
      <c r="J756" t="s">
        <v>1426</v>
      </c>
      <c r="O756">
        <v>1475</v>
      </c>
      <c r="P756" t="str">
        <f t="shared" si="62"/>
        <v>MASA MDF X AYAK SÜRGÜLÜ</v>
      </c>
      <c r="Q756" s="1">
        <f t="shared" si="63"/>
        <v>14000</v>
      </c>
      <c r="R756" t="str">
        <f t="shared" si="64"/>
        <v>TL</v>
      </c>
      <c r="S756" t="str">
        <f t="shared" si="65"/>
        <v>MASA-SAND-SEHPA-ZİGON</v>
      </c>
      <c r="T756" t="str">
        <f t="shared" si="61"/>
        <v>mssz</v>
      </c>
    </row>
    <row r="757" spans="1:20" x14ac:dyDescent="0.25">
      <c r="A757" t="s">
        <v>1422</v>
      </c>
      <c r="B757">
        <v>1366</v>
      </c>
      <c r="C757" t="s">
        <v>2072</v>
      </c>
      <c r="D757" t="s">
        <v>709</v>
      </c>
      <c r="E757">
        <v>7000</v>
      </c>
      <c r="F757" t="s">
        <v>0</v>
      </c>
      <c r="G757" t="s">
        <v>1606</v>
      </c>
      <c r="H757" t="s">
        <v>1425</v>
      </c>
      <c r="I757" t="s">
        <v>1426</v>
      </c>
      <c r="J757" t="s">
        <v>1426</v>
      </c>
      <c r="O757">
        <v>1478</v>
      </c>
      <c r="P757" t="str">
        <f t="shared" si="62"/>
        <v>MASA 70*110 BAHÇE SET</v>
      </c>
      <c r="Q757" s="1">
        <f t="shared" si="63"/>
        <v>3500</v>
      </c>
      <c r="R757" t="str">
        <f t="shared" si="64"/>
        <v>TL</v>
      </c>
      <c r="S757" t="str">
        <f t="shared" si="65"/>
        <v>MASA-SAND-SEHPA-ZİGON</v>
      </c>
      <c r="T757" t="str">
        <f t="shared" si="61"/>
        <v>mssz</v>
      </c>
    </row>
    <row r="758" spans="1:20" x14ac:dyDescent="0.25">
      <c r="A758" t="s">
        <v>1422</v>
      </c>
      <c r="B758">
        <v>1367</v>
      </c>
      <c r="C758" t="s">
        <v>2064</v>
      </c>
      <c r="D758" t="s">
        <v>710</v>
      </c>
      <c r="E758">
        <v>17250</v>
      </c>
      <c r="F758" t="s">
        <v>0</v>
      </c>
      <c r="G758" t="s">
        <v>1606</v>
      </c>
      <c r="H758" t="s">
        <v>1425</v>
      </c>
      <c r="I758" t="s">
        <v>1426</v>
      </c>
      <c r="J758" t="s">
        <v>1426</v>
      </c>
      <c r="O758">
        <v>1479</v>
      </c>
      <c r="P758" t="str">
        <f t="shared" si="62"/>
        <v>SANDALYE ALYA BF AS HOME</v>
      </c>
      <c r="Q758" s="1">
        <f t="shared" si="63"/>
        <v>3200</v>
      </c>
      <c r="R758" t="str">
        <f t="shared" si="64"/>
        <v>TL</v>
      </c>
      <c r="S758" t="str">
        <f t="shared" si="65"/>
        <v>MASA-SAND-SEHPA-ZİGON</v>
      </c>
      <c r="T758" t="str">
        <f t="shared" si="61"/>
        <v>mssz</v>
      </c>
    </row>
    <row r="759" spans="1:20" x14ac:dyDescent="0.25">
      <c r="A759" t="s">
        <v>1422</v>
      </c>
      <c r="B759">
        <v>1368</v>
      </c>
      <c r="C759" t="s">
        <v>2258</v>
      </c>
      <c r="D759" t="s">
        <v>711</v>
      </c>
      <c r="E759">
        <v>4000</v>
      </c>
      <c r="F759" t="s">
        <v>0</v>
      </c>
      <c r="G759" t="s">
        <v>1525</v>
      </c>
      <c r="H759" t="s">
        <v>1425</v>
      </c>
      <c r="I759" t="s">
        <v>1426</v>
      </c>
      <c r="J759" t="s">
        <v>1426</v>
      </c>
      <c r="O759">
        <v>1481</v>
      </c>
      <c r="P759" t="str">
        <f t="shared" si="62"/>
        <v>MASA SUNTA KELEBEK</v>
      </c>
      <c r="Q759" s="1">
        <f t="shared" si="63"/>
        <v>6000</v>
      </c>
      <c r="R759" t="str">
        <f t="shared" si="64"/>
        <v>TL</v>
      </c>
      <c r="S759" t="str">
        <f t="shared" si="65"/>
        <v>MASA-SAND-SEHPA-ZİGON</v>
      </c>
      <c r="T759" t="str">
        <f t="shared" si="61"/>
        <v>mssz</v>
      </c>
    </row>
    <row r="760" spans="1:20" x14ac:dyDescent="0.25">
      <c r="A760" t="s">
        <v>1422</v>
      </c>
      <c r="B760">
        <v>1369</v>
      </c>
      <c r="C760" t="s">
        <v>2028</v>
      </c>
      <c r="D760" t="s">
        <v>712</v>
      </c>
      <c r="E760">
        <v>7000</v>
      </c>
      <c r="F760" t="s">
        <v>0</v>
      </c>
      <c r="G760" t="s">
        <v>1424</v>
      </c>
      <c r="H760" t="s">
        <v>1425</v>
      </c>
      <c r="I760" t="s">
        <v>1426</v>
      </c>
      <c r="J760" t="s">
        <v>1426</v>
      </c>
      <c r="O760">
        <v>1482</v>
      </c>
      <c r="P760" t="str">
        <f t="shared" si="62"/>
        <v>YAŞAM 4+1 AHŞAP PİZZA ALFA</v>
      </c>
      <c r="Q760" s="1">
        <f t="shared" si="63"/>
        <v>8000</v>
      </c>
      <c r="R760" t="str">
        <f t="shared" si="64"/>
        <v>TL</v>
      </c>
      <c r="S760" t="str">
        <f t="shared" si="65"/>
        <v>MASA-SAND-SEHPA-ZİGON</v>
      </c>
      <c r="T760" t="str">
        <f t="shared" si="61"/>
        <v>mssz</v>
      </c>
    </row>
    <row r="761" spans="1:20" x14ac:dyDescent="0.25">
      <c r="A761" t="s">
        <v>1422</v>
      </c>
      <c r="B761">
        <v>1370</v>
      </c>
      <c r="C761" t="s">
        <v>2026</v>
      </c>
      <c r="D761" t="s">
        <v>713</v>
      </c>
      <c r="E761">
        <v>7000</v>
      </c>
      <c r="F761" t="s">
        <v>0</v>
      </c>
      <c r="G761" t="s">
        <v>1424</v>
      </c>
      <c r="H761" t="s">
        <v>1425</v>
      </c>
      <c r="I761" t="s">
        <v>1426</v>
      </c>
      <c r="J761" t="s">
        <v>1426</v>
      </c>
      <c r="O761">
        <v>1484</v>
      </c>
      <c r="P761" t="str">
        <f t="shared" si="62"/>
        <v>DOLAP 4 KAPAKLI 160CM (PYRZ)</v>
      </c>
      <c r="Q761" s="1">
        <f t="shared" si="63"/>
        <v>18000</v>
      </c>
      <c r="R761" t="str">
        <f t="shared" si="64"/>
        <v>TL</v>
      </c>
      <c r="S761" t="str">
        <f t="shared" si="65"/>
        <v>MOBİLYA</v>
      </c>
      <c r="T761" t="str">
        <f t="shared" si="61"/>
        <v>mobilya</v>
      </c>
    </row>
    <row r="762" spans="1:20" x14ac:dyDescent="0.25">
      <c r="A762" t="s">
        <v>1422</v>
      </c>
      <c r="B762">
        <v>1371</v>
      </c>
      <c r="C762" t="s">
        <v>2025</v>
      </c>
      <c r="D762" t="s">
        <v>714</v>
      </c>
      <c r="E762">
        <v>7000</v>
      </c>
      <c r="F762" t="s">
        <v>0</v>
      </c>
      <c r="G762" t="s">
        <v>1424</v>
      </c>
      <c r="H762" t="s">
        <v>1425</v>
      </c>
      <c r="I762" t="s">
        <v>1426</v>
      </c>
      <c r="J762" t="s">
        <v>1426</v>
      </c>
      <c r="O762">
        <v>1489</v>
      </c>
      <c r="P762" t="str">
        <f t="shared" si="62"/>
        <v>KAYSERİ ALÜMİNYUM HAVUZ</v>
      </c>
      <c r="Q762" s="1">
        <f t="shared" si="63"/>
        <v>250</v>
      </c>
      <c r="R762" t="str">
        <f t="shared" si="64"/>
        <v>TL</v>
      </c>
      <c r="S762" t="str">
        <f t="shared" si="65"/>
        <v>TÜP</v>
      </c>
      <c r="T762" t="str">
        <f t="shared" si="61"/>
        <v>tup</v>
      </c>
    </row>
    <row r="763" spans="1:20" x14ac:dyDescent="0.25">
      <c r="A763" t="s">
        <v>1422</v>
      </c>
      <c r="B763">
        <v>1374</v>
      </c>
      <c r="C763" t="s">
        <v>1836</v>
      </c>
      <c r="D763" t="s">
        <v>715</v>
      </c>
      <c r="E763">
        <v>3850</v>
      </c>
      <c r="F763" t="s">
        <v>0</v>
      </c>
      <c r="G763" t="s">
        <v>1560</v>
      </c>
      <c r="H763" t="s">
        <v>1425</v>
      </c>
      <c r="I763" t="s">
        <v>1426</v>
      </c>
      <c r="J763" t="s">
        <v>1426</v>
      </c>
      <c r="O763">
        <v>1491</v>
      </c>
      <c r="P763" t="str">
        <f t="shared" si="62"/>
        <v>KİLER DOLABI (PYRZ)</v>
      </c>
      <c r="Q763" s="1">
        <f t="shared" si="63"/>
        <v>7500</v>
      </c>
      <c r="R763" t="str">
        <f t="shared" si="64"/>
        <v>TL</v>
      </c>
      <c r="S763" t="str">
        <f t="shared" si="65"/>
        <v>MOBİLYA</v>
      </c>
      <c r="T763" t="str">
        <f t="shared" si="61"/>
        <v>mobilya</v>
      </c>
    </row>
    <row r="764" spans="1:20" x14ac:dyDescent="0.25">
      <c r="A764" t="s">
        <v>1422</v>
      </c>
      <c r="B764">
        <v>1375</v>
      </c>
      <c r="C764" t="s">
        <v>1780</v>
      </c>
      <c r="D764" t="s">
        <v>716</v>
      </c>
      <c r="E764">
        <v>1000</v>
      </c>
      <c r="F764" t="s">
        <v>0</v>
      </c>
      <c r="G764" t="s">
        <v>1424</v>
      </c>
      <c r="H764" t="s">
        <v>1425</v>
      </c>
      <c r="I764" t="s">
        <v>1426</v>
      </c>
      <c r="J764" t="s">
        <v>1426</v>
      </c>
      <c r="O764">
        <v>1492</v>
      </c>
      <c r="P764" t="str">
        <f t="shared" si="62"/>
        <v>AYAKKABILIK AHŞAP (İST)</v>
      </c>
      <c r="Q764" s="1">
        <f t="shared" si="63"/>
        <v>7000</v>
      </c>
      <c r="R764" t="str">
        <f t="shared" si="64"/>
        <v>TL</v>
      </c>
      <c r="S764" t="str">
        <f t="shared" si="65"/>
        <v>MOBİLYA</v>
      </c>
      <c r="T764" t="str">
        <f t="shared" si="61"/>
        <v>mobilya</v>
      </c>
    </row>
    <row r="765" spans="1:20" x14ac:dyDescent="0.25">
      <c r="A765" t="s">
        <v>1422</v>
      </c>
      <c r="B765">
        <v>1376</v>
      </c>
      <c r="C765" t="s">
        <v>2040</v>
      </c>
      <c r="D765" t="s">
        <v>717</v>
      </c>
      <c r="E765">
        <v>5000</v>
      </c>
      <c r="F765" t="s">
        <v>0</v>
      </c>
      <c r="G765" t="s">
        <v>1424</v>
      </c>
      <c r="H765" t="s">
        <v>1425</v>
      </c>
      <c r="I765" t="s">
        <v>1426</v>
      </c>
      <c r="J765" t="s">
        <v>1426</v>
      </c>
      <c r="O765">
        <v>1498</v>
      </c>
      <c r="P765" t="str">
        <f t="shared" si="62"/>
        <v>DOLAP 3 LÜ LÜKS RETRO (PYRZ)</v>
      </c>
      <c r="Q765" s="1">
        <f t="shared" si="63"/>
        <v>13500</v>
      </c>
      <c r="R765" t="str">
        <f t="shared" si="64"/>
        <v>TL</v>
      </c>
      <c r="S765" t="str">
        <f t="shared" si="65"/>
        <v>MOBİLYA</v>
      </c>
      <c r="T765" t="str">
        <f t="shared" si="61"/>
        <v>mobilya</v>
      </c>
    </row>
    <row r="766" spans="1:20" x14ac:dyDescent="0.25">
      <c r="A766" t="s">
        <v>1422</v>
      </c>
      <c r="B766">
        <v>1377</v>
      </c>
      <c r="C766" t="s">
        <v>1638</v>
      </c>
      <c r="D766" t="s">
        <v>718</v>
      </c>
      <c r="E766">
        <v>35</v>
      </c>
      <c r="F766" t="s">
        <v>0</v>
      </c>
      <c r="G766" t="s">
        <v>1553</v>
      </c>
      <c r="H766" t="s">
        <v>1425</v>
      </c>
      <c r="I766" t="s">
        <v>1426</v>
      </c>
      <c r="J766" t="s">
        <v>1426</v>
      </c>
      <c r="O766">
        <v>1501</v>
      </c>
      <c r="P766" t="str">
        <f t="shared" si="62"/>
        <v>ZİGON WOOD ( PYRZ)</v>
      </c>
      <c r="Q766" s="1">
        <f t="shared" si="63"/>
        <v>6000</v>
      </c>
      <c r="R766" t="str">
        <f t="shared" si="64"/>
        <v>TL</v>
      </c>
      <c r="S766" t="str">
        <f t="shared" si="65"/>
        <v>MASA-SAND-SEHPA-ZİGON</v>
      </c>
      <c r="T766" t="str">
        <f t="shared" si="61"/>
        <v>mssz</v>
      </c>
    </row>
    <row r="767" spans="1:20" x14ac:dyDescent="0.25">
      <c r="A767" t="s">
        <v>1422</v>
      </c>
      <c r="B767">
        <v>1380</v>
      </c>
      <c r="C767" t="s">
        <v>1760</v>
      </c>
      <c r="D767" t="s">
        <v>719</v>
      </c>
      <c r="E767">
        <v>1500</v>
      </c>
      <c r="F767" t="s">
        <v>0</v>
      </c>
      <c r="G767" t="s">
        <v>1424</v>
      </c>
      <c r="H767" t="s">
        <v>1425</v>
      </c>
      <c r="I767" t="s">
        <v>1426</v>
      </c>
      <c r="J767" t="s">
        <v>1426</v>
      </c>
      <c r="O767">
        <v>1502</v>
      </c>
      <c r="P767" t="str">
        <f t="shared" si="62"/>
        <v>ZİGON 4 LÜ TERLEKLİ (PYRZ)</v>
      </c>
      <c r="Q767" s="1">
        <f t="shared" si="63"/>
        <v>4000</v>
      </c>
      <c r="R767" t="str">
        <f t="shared" si="64"/>
        <v>TL</v>
      </c>
      <c r="S767" t="str">
        <f t="shared" si="65"/>
        <v>MASA-SAND-SEHPA-ZİGON</v>
      </c>
      <c r="T767" t="str">
        <f t="shared" si="61"/>
        <v>mssz</v>
      </c>
    </row>
    <row r="768" spans="1:20" x14ac:dyDescent="0.25">
      <c r="A768" t="s">
        <v>1422</v>
      </c>
      <c r="B768">
        <v>1381</v>
      </c>
      <c r="C768" t="s">
        <v>1759</v>
      </c>
      <c r="D768" t="s">
        <v>720</v>
      </c>
      <c r="E768">
        <v>1500</v>
      </c>
      <c r="F768" t="s">
        <v>0</v>
      </c>
      <c r="G768" t="s">
        <v>1424</v>
      </c>
      <c r="H768" t="s">
        <v>1425</v>
      </c>
      <c r="I768" t="s">
        <v>1426</v>
      </c>
      <c r="J768" t="s">
        <v>1426</v>
      </c>
      <c r="O768">
        <v>1507</v>
      </c>
      <c r="P768" t="str">
        <f t="shared" si="62"/>
        <v>ÇALIŞMA MASASI RETRO (PYRZ)</v>
      </c>
      <c r="Q768" s="1">
        <f t="shared" si="63"/>
        <v>12000</v>
      </c>
      <c r="R768" t="str">
        <f t="shared" si="64"/>
        <v>TL</v>
      </c>
      <c r="S768" t="str">
        <f t="shared" si="65"/>
        <v>MOBİLYA</v>
      </c>
      <c r="T768" t="str">
        <f t="shared" si="61"/>
        <v>mobilya</v>
      </c>
    </row>
    <row r="769" spans="1:20" x14ac:dyDescent="0.25">
      <c r="A769" t="s">
        <v>1422</v>
      </c>
      <c r="B769">
        <v>1382</v>
      </c>
      <c r="C769" t="s">
        <v>1758</v>
      </c>
      <c r="D769" t="s">
        <v>721</v>
      </c>
      <c r="E769">
        <v>1500</v>
      </c>
      <c r="F769" t="s">
        <v>0</v>
      </c>
      <c r="G769" t="s">
        <v>1424</v>
      </c>
      <c r="H769" t="s">
        <v>1425</v>
      </c>
      <c r="I769" t="s">
        <v>1426</v>
      </c>
      <c r="J769" t="s">
        <v>1426</v>
      </c>
      <c r="O769">
        <v>1508</v>
      </c>
      <c r="P769" t="str">
        <f t="shared" si="62"/>
        <v>KİTAPLIK RETRO (PYRZ)</v>
      </c>
      <c r="Q769" s="1">
        <f t="shared" si="63"/>
        <v>10000</v>
      </c>
      <c r="R769" t="str">
        <f t="shared" si="64"/>
        <v>TL</v>
      </c>
      <c r="S769" t="str">
        <f t="shared" si="65"/>
        <v>MOBİLYA</v>
      </c>
      <c r="T769" t="str">
        <f t="shared" si="61"/>
        <v>mobilya</v>
      </c>
    </row>
    <row r="770" spans="1:20" x14ac:dyDescent="0.25">
      <c r="A770" t="s">
        <v>1422</v>
      </c>
      <c r="B770">
        <v>1383</v>
      </c>
      <c r="C770" t="s">
        <v>1757</v>
      </c>
      <c r="D770" t="s">
        <v>722</v>
      </c>
      <c r="E770">
        <v>1500</v>
      </c>
      <c r="F770" t="s">
        <v>0</v>
      </c>
      <c r="G770" t="s">
        <v>1424</v>
      </c>
      <c r="H770" t="s">
        <v>1425</v>
      </c>
      <c r="I770" t="s">
        <v>1426</v>
      </c>
      <c r="J770" t="s">
        <v>1426</v>
      </c>
      <c r="O770">
        <v>1509</v>
      </c>
      <c r="P770" t="str">
        <f t="shared" si="62"/>
        <v>VESTİYER RETRO (PYRZ)</v>
      </c>
      <c r="Q770" s="1">
        <f t="shared" si="63"/>
        <v>9000</v>
      </c>
      <c r="R770" t="str">
        <f t="shared" si="64"/>
        <v>TL</v>
      </c>
      <c r="S770" t="str">
        <f t="shared" si="65"/>
        <v>MOBİLYA</v>
      </c>
      <c r="T770" t="str">
        <f t="shared" si="61"/>
        <v>mobilya</v>
      </c>
    </row>
    <row r="771" spans="1:20" x14ac:dyDescent="0.25">
      <c r="A771" t="s">
        <v>1422</v>
      </c>
      <c r="B771">
        <v>1384</v>
      </c>
      <c r="C771" t="s">
        <v>1756</v>
      </c>
      <c r="D771" t="s">
        <v>723</v>
      </c>
      <c r="E771">
        <v>1500</v>
      </c>
      <c r="F771" t="s">
        <v>0</v>
      </c>
      <c r="G771" t="s">
        <v>1424</v>
      </c>
      <c r="H771" t="s">
        <v>1425</v>
      </c>
      <c r="I771" t="s">
        <v>1426</v>
      </c>
      <c r="J771" t="s">
        <v>1426</v>
      </c>
      <c r="O771">
        <v>1510</v>
      </c>
      <c r="P771" t="str">
        <f t="shared" si="62"/>
        <v>DOLAP 4 KAPAKLI ECRİN (PYRZ)</v>
      </c>
      <c r="Q771" s="1">
        <f t="shared" si="63"/>
        <v>35000</v>
      </c>
      <c r="R771" t="str">
        <f t="shared" si="64"/>
        <v>TL</v>
      </c>
      <c r="S771" t="str">
        <f t="shared" si="65"/>
        <v>MOBİLYA</v>
      </c>
      <c r="T771" t="str">
        <f t="shared" si="61"/>
        <v>mobilya</v>
      </c>
    </row>
    <row r="772" spans="1:20" x14ac:dyDescent="0.25">
      <c r="A772" t="s">
        <v>1422</v>
      </c>
      <c r="B772">
        <v>1385</v>
      </c>
      <c r="C772" t="s">
        <v>1750</v>
      </c>
      <c r="D772" t="s">
        <v>724</v>
      </c>
      <c r="E772">
        <v>1500</v>
      </c>
      <c r="F772" t="s">
        <v>0</v>
      </c>
      <c r="G772" t="s">
        <v>1424</v>
      </c>
      <c r="H772" t="s">
        <v>1425</v>
      </c>
      <c r="I772" t="s">
        <v>1426</v>
      </c>
      <c r="J772" t="s">
        <v>1426</v>
      </c>
      <c r="O772">
        <v>1511</v>
      </c>
      <c r="P772" t="str">
        <f t="shared" si="62"/>
        <v>DOLAP 4 KAPAKLI BERFİN (PYRZ)</v>
      </c>
      <c r="Q772" s="1">
        <f t="shared" si="63"/>
        <v>35000</v>
      </c>
      <c r="R772" t="str">
        <f t="shared" si="64"/>
        <v>TL</v>
      </c>
      <c r="S772" t="str">
        <f t="shared" si="65"/>
        <v>MOBİLYA</v>
      </c>
      <c r="T772" t="str">
        <f t="shared" si="61"/>
        <v>mobilya</v>
      </c>
    </row>
    <row r="773" spans="1:20" x14ac:dyDescent="0.25">
      <c r="A773" t="s">
        <v>1422</v>
      </c>
      <c r="B773">
        <v>1386</v>
      </c>
      <c r="C773" t="s">
        <v>1751</v>
      </c>
      <c r="D773" t="s">
        <v>725</v>
      </c>
      <c r="E773">
        <v>1500</v>
      </c>
      <c r="F773" t="s">
        <v>0</v>
      </c>
      <c r="G773" t="s">
        <v>1424</v>
      </c>
      <c r="H773" t="s">
        <v>1425</v>
      </c>
      <c r="I773" t="s">
        <v>1426</v>
      </c>
      <c r="J773" t="s">
        <v>1426</v>
      </c>
      <c r="O773">
        <v>1512</v>
      </c>
      <c r="P773" t="str">
        <f t="shared" si="62"/>
        <v>DOLAP 3 KAPAKLI RETRO (PYRZ)</v>
      </c>
      <c r="Q773" s="1">
        <f t="shared" si="63"/>
        <v>12000</v>
      </c>
      <c r="R773" t="str">
        <f t="shared" si="64"/>
        <v>TL</v>
      </c>
      <c r="S773" t="str">
        <f t="shared" si="65"/>
        <v>MOBİLYA</v>
      </c>
      <c r="T773" t="str">
        <f t="shared" ref="T773:T786" si="66">IF(S773="KEA","kea",IF(S773="MOBİLYA","mobilya",IF(S773="TÜP","tup",IF(S773="MASA-SAND-SEHPA-ZİGON","mssz",IF(S773="ENDÜSTRİYEL","endustriyel",IF(S773="YEDEK PARÇA","diger",""))))))</f>
        <v>mobilya</v>
      </c>
    </row>
    <row r="774" spans="1:20" x14ac:dyDescent="0.25">
      <c r="A774" t="s">
        <v>1422</v>
      </c>
      <c r="B774">
        <v>1387</v>
      </c>
      <c r="C774" t="s">
        <v>1752</v>
      </c>
      <c r="D774" t="s">
        <v>726</v>
      </c>
      <c r="E774">
        <v>1500</v>
      </c>
      <c r="F774" t="s">
        <v>0</v>
      </c>
      <c r="G774" t="s">
        <v>1424</v>
      </c>
      <c r="H774" t="s">
        <v>1425</v>
      </c>
      <c r="I774" t="s">
        <v>1426</v>
      </c>
      <c r="J774" t="s">
        <v>1426</v>
      </c>
      <c r="O774">
        <v>1513</v>
      </c>
      <c r="P774" t="str">
        <f t="shared" si="62"/>
        <v>DOLAP 4 KAPAKLI RETRO (PYRZ)</v>
      </c>
      <c r="Q774" s="1">
        <f t="shared" si="63"/>
        <v>18000</v>
      </c>
      <c r="R774" t="str">
        <f t="shared" si="64"/>
        <v>TL</v>
      </c>
      <c r="S774" t="str">
        <f t="shared" si="65"/>
        <v>MOBİLYA</v>
      </c>
      <c r="T774" t="str">
        <f t="shared" si="66"/>
        <v>mobilya</v>
      </c>
    </row>
    <row r="775" spans="1:20" x14ac:dyDescent="0.25">
      <c r="A775" t="s">
        <v>1422</v>
      </c>
      <c r="B775">
        <v>1388</v>
      </c>
      <c r="C775" t="s">
        <v>1753</v>
      </c>
      <c r="D775" t="s">
        <v>727</v>
      </c>
      <c r="E775">
        <v>1500</v>
      </c>
      <c r="F775" t="s">
        <v>0</v>
      </c>
      <c r="G775" t="s">
        <v>1424</v>
      </c>
      <c r="H775" t="s">
        <v>1425</v>
      </c>
      <c r="I775" t="s">
        <v>1426</v>
      </c>
      <c r="J775" t="s">
        <v>1426</v>
      </c>
      <c r="O775">
        <v>1514</v>
      </c>
      <c r="P775" t="str">
        <f t="shared" si="62"/>
        <v>SOFRA 80 LİK</v>
      </c>
      <c r="Q775" s="1">
        <f t="shared" si="63"/>
        <v>1700</v>
      </c>
      <c r="R775" t="str">
        <f t="shared" si="64"/>
        <v>TL</v>
      </c>
      <c r="S775" t="str">
        <f t="shared" si="65"/>
        <v>KEA</v>
      </c>
      <c r="T775" t="str">
        <f t="shared" si="66"/>
        <v>kea</v>
      </c>
    </row>
    <row r="776" spans="1:20" x14ac:dyDescent="0.25">
      <c r="A776" t="s">
        <v>1422</v>
      </c>
      <c r="B776">
        <v>1389</v>
      </c>
      <c r="C776" t="s">
        <v>1754</v>
      </c>
      <c r="D776" t="s">
        <v>728</v>
      </c>
      <c r="E776">
        <v>1500</v>
      </c>
      <c r="F776" t="s">
        <v>0</v>
      </c>
      <c r="G776" t="s">
        <v>1424</v>
      </c>
      <c r="H776" t="s">
        <v>1425</v>
      </c>
      <c r="I776" t="s">
        <v>1426</v>
      </c>
      <c r="J776" t="s">
        <v>1426</v>
      </c>
      <c r="O776">
        <v>1515</v>
      </c>
      <c r="P776" t="str">
        <f t="shared" si="62"/>
        <v>SANDALYE LEKSUZ</v>
      </c>
      <c r="Q776" s="1">
        <f t="shared" si="63"/>
        <v>3500</v>
      </c>
      <c r="R776" t="str">
        <f t="shared" si="64"/>
        <v>TL</v>
      </c>
      <c r="S776" t="str">
        <f t="shared" si="65"/>
        <v>MASA-SAND-SEHPA-ZİGON</v>
      </c>
      <c r="T776" t="str">
        <f t="shared" si="66"/>
        <v>mssz</v>
      </c>
    </row>
    <row r="777" spans="1:20" x14ac:dyDescent="0.25">
      <c r="A777" t="s">
        <v>1422</v>
      </c>
      <c r="B777">
        <v>1390</v>
      </c>
      <c r="C777" t="s">
        <v>1748</v>
      </c>
      <c r="D777" t="s">
        <v>729</v>
      </c>
      <c r="E777">
        <v>1500</v>
      </c>
      <c r="F777" t="s">
        <v>0</v>
      </c>
      <c r="G777" t="s">
        <v>1424</v>
      </c>
      <c r="H777" t="s">
        <v>1425</v>
      </c>
      <c r="I777" t="s">
        <v>1426</v>
      </c>
      <c r="J777" t="s">
        <v>1426</v>
      </c>
      <c r="O777">
        <v>1517</v>
      </c>
      <c r="P777" t="str">
        <f t="shared" si="62"/>
        <v>SANDALYE LAV (YSF)</v>
      </c>
      <c r="Q777" s="1">
        <f t="shared" si="63"/>
        <v>5000</v>
      </c>
      <c r="R777" t="str">
        <f t="shared" si="64"/>
        <v>TL</v>
      </c>
      <c r="S777" t="str">
        <f t="shared" si="65"/>
        <v>MASA-SAND-SEHPA-ZİGON</v>
      </c>
      <c r="T777" t="str">
        <f t="shared" si="66"/>
        <v>mssz</v>
      </c>
    </row>
    <row r="778" spans="1:20" x14ac:dyDescent="0.25">
      <c r="A778" t="s">
        <v>1422</v>
      </c>
      <c r="B778">
        <v>1391</v>
      </c>
      <c r="C778" t="s">
        <v>1747</v>
      </c>
      <c r="D778" t="s">
        <v>730</v>
      </c>
      <c r="E778">
        <v>1500</v>
      </c>
      <c r="F778" t="s">
        <v>0</v>
      </c>
      <c r="G778" t="s">
        <v>1424</v>
      </c>
      <c r="H778" t="s">
        <v>1425</v>
      </c>
      <c r="I778" t="s">
        <v>1426</v>
      </c>
      <c r="J778" t="s">
        <v>1426</v>
      </c>
      <c r="O778">
        <v>1518</v>
      </c>
      <c r="P778" t="str">
        <f t="shared" si="62"/>
        <v>YAŞAM 4+1 SET AHŞAP ODABAŞI</v>
      </c>
      <c r="Q778" s="1">
        <f t="shared" si="63"/>
        <v>8000</v>
      </c>
      <c r="R778" t="str">
        <f t="shared" si="64"/>
        <v>TL</v>
      </c>
      <c r="S778" t="str">
        <f t="shared" si="65"/>
        <v>MASA-SAND-SEHPA-ZİGON</v>
      </c>
      <c r="T778" t="str">
        <f t="shared" si="66"/>
        <v>mssz</v>
      </c>
    </row>
    <row r="779" spans="1:20" x14ac:dyDescent="0.25">
      <c r="A779" t="s">
        <v>1422</v>
      </c>
      <c r="B779">
        <v>1392</v>
      </c>
      <c r="C779" t="s">
        <v>1746</v>
      </c>
      <c r="D779" t="s">
        <v>731</v>
      </c>
      <c r="E779">
        <v>1500</v>
      </c>
      <c r="F779" t="s">
        <v>0</v>
      </c>
      <c r="G779" t="s">
        <v>1424</v>
      </c>
      <c r="H779" t="s">
        <v>1425</v>
      </c>
      <c r="I779" t="s">
        <v>1426</v>
      </c>
      <c r="J779" t="s">
        <v>1426</v>
      </c>
      <c r="O779">
        <v>1524</v>
      </c>
      <c r="P779" t="str">
        <f t="shared" si="62"/>
        <v>DOLAP 4 KAPAKLI 160CM (İST)</v>
      </c>
      <c r="Q779" s="1">
        <f t="shared" si="63"/>
        <v>18000</v>
      </c>
      <c r="R779" t="str">
        <f t="shared" si="64"/>
        <v>TL</v>
      </c>
      <c r="S779" t="str">
        <f t="shared" si="65"/>
        <v>MOBİLYA</v>
      </c>
      <c r="T779" t="str">
        <f t="shared" si="66"/>
        <v>mobilya</v>
      </c>
    </row>
    <row r="780" spans="1:20" x14ac:dyDescent="0.25">
      <c r="A780" t="s">
        <v>1422</v>
      </c>
      <c r="B780">
        <v>1393</v>
      </c>
      <c r="C780" t="s">
        <v>1796</v>
      </c>
      <c r="D780" t="s">
        <v>732</v>
      </c>
      <c r="E780">
        <v>1800</v>
      </c>
      <c r="F780" t="s">
        <v>0</v>
      </c>
      <c r="G780" t="s">
        <v>1424</v>
      </c>
      <c r="H780" t="s">
        <v>1425</v>
      </c>
      <c r="I780" t="s">
        <v>1426</v>
      </c>
      <c r="J780" t="s">
        <v>1426</v>
      </c>
      <c r="O780">
        <v>1525</v>
      </c>
      <c r="P780" t="str">
        <f t="shared" si="62"/>
        <v>DOLAP 3 KAPAKLI (İST)</v>
      </c>
      <c r="Q780" s="1">
        <f t="shared" si="63"/>
        <v>9000</v>
      </c>
      <c r="R780" t="str">
        <f t="shared" si="64"/>
        <v>TL</v>
      </c>
      <c r="S780" t="str">
        <f t="shared" si="65"/>
        <v>MOBİLYA</v>
      </c>
      <c r="T780" t="str">
        <f t="shared" si="66"/>
        <v>mobilya</v>
      </c>
    </row>
    <row r="781" spans="1:20" x14ac:dyDescent="0.25">
      <c r="A781" t="s">
        <v>1422</v>
      </c>
      <c r="B781">
        <v>1394</v>
      </c>
      <c r="C781" t="s">
        <v>1795</v>
      </c>
      <c r="D781" t="s">
        <v>733</v>
      </c>
      <c r="E781">
        <v>1800</v>
      </c>
      <c r="F781" t="s">
        <v>0</v>
      </c>
      <c r="G781" t="s">
        <v>1424</v>
      </c>
      <c r="H781" t="s">
        <v>1425</v>
      </c>
      <c r="I781" t="s">
        <v>1426</v>
      </c>
      <c r="J781" t="s">
        <v>1426</v>
      </c>
      <c r="O781">
        <v>1526</v>
      </c>
      <c r="P781" t="str">
        <f t="shared" si="62"/>
        <v>DOLAP 2 KAPAKLI  (İST)</v>
      </c>
      <c r="Q781" s="1">
        <f t="shared" si="63"/>
        <v>7200</v>
      </c>
      <c r="R781" t="str">
        <f t="shared" si="64"/>
        <v>TL</v>
      </c>
      <c r="S781" t="str">
        <f t="shared" si="65"/>
        <v>MOBİLYA</v>
      </c>
      <c r="T781" t="str">
        <f t="shared" si="66"/>
        <v>mobilya</v>
      </c>
    </row>
    <row r="782" spans="1:20" x14ac:dyDescent="0.25">
      <c r="A782" t="s">
        <v>1422</v>
      </c>
      <c r="B782">
        <v>1395</v>
      </c>
      <c r="C782" t="s">
        <v>1794</v>
      </c>
      <c r="D782" t="s">
        <v>734</v>
      </c>
      <c r="E782">
        <v>1800</v>
      </c>
      <c r="F782" t="s">
        <v>0</v>
      </c>
      <c r="G782" t="s">
        <v>1424</v>
      </c>
      <c r="H782" t="s">
        <v>1425</v>
      </c>
      <c r="I782" t="s">
        <v>1426</v>
      </c>
      <c r="J782" t="s">
        <v>1426</v>
      </c>
      <c r="O782">
        <v>1527</v>
      </c>
      <c r="P782" t="str">
        <f t="shared" si="62"/>
        <v>KİLER DOLABI KAPAKLI BOY (İST)</v>
      </c>
      <c r="Q782" s="1">
        <f t="shared" si="63"/>
        <v>6600</v>
      </c>
      <c r="R782" t="str">
        <f t="shared" si="64"/>
        <v>TL</v>
      </c>
      <c r="S782" t="str">
        <f t="shared" si="65"/>
        <v>MOBİLYA</v>
      </c>
      <c r="T782" t="str">
        <f t="shared" si="66"/>
        <v>mobilya</v>
      </c>
    </row>
    <row r="783" spans="1:20" x14ac:dyDescent="0.25">
      <c r="A783" t="s">
        <v>1422</v>
      </c>
      <c r="B783">
        <v>1396</v>
      </c>
      <c r="C783" t="s">
        <v>1793</v>
      </c>
      <c r="D783" t="s">
        <v>735</v>
      </c>
      <c r="E783">
        <v>1800</v>
      </c>
      <c r="F783" t="s">
        <v>0</v>
      </c>
      <c r="G783" t="s">
        <v>1424</v>
      </c>
      <c r="H783" t="s">
        <v>1425</v>
      </c>
      <c r="I783" t="s">
        <v>1426</v>
      </c>
      <c r="J783" t="s">
        <v>1426</v>
      </c>
      <c r="O783">
        <v>1528</v>
      </c>
      <c r="P783" t="str">
        <f t="shared" si="62"/>
        <v>KİLER DOLABI ÇEKMECELİ (İST)</v>
      </c>
      <c r="Q783" s="1">
        <f t="shared" si="63"/>
        <v>7100</v>
      </c>
      <c r="R783" t="str">
        <f t="shared" si="64"/>
        <v>TL</v>
      </c>
      <c r="S783" t="str">
        <f t="shared" si="65"/>
        <v>MOBİLYA</v>
      </c>
      <c r="T783" t="str">
        <f t="shared" si="66"/>
        <v>mobilya</v>
      </c>
    </row>
    <row r="784" spans="1:20" x14ac:dyDescent="0.25">
      <c r="A784" t="s">
        <v>1422</v>
      </c>
      <c r="B784">
        <v>1397</v>
      </c>
      <c r="C784" t="s">
        <v>1792</v>
      </c>
      <c r="D784" t="s">
        <v>736</v>
      </c>
      <c r="E784">
        <v>1800</v>
      </c>
      <c r="F784" t="s">
        <v>0</v>
      </c>
      <c r="G784" t="s">
        <v>1424</v>
      </c>
      <c r="H784" t="s">
        <v>1425</v>
      </c>
      <c r="I784" t="s">
        <v>1426</v>
      </c>
      <c r="J784" t="s">
        <v>1426</v>
      </c>
      <c r="O784">
        <v>1529</v>
      </c>
      <c r="P784" t="str">
        <f t="shared" si="62"/>
        <v>BİLGİSAYAR-ÇALIŞMA MASASI KÜTÜPHANELİ (İST)</v>
      </c>
      <c r="Q784" s="1">
        <f t="shared" si="63"/>
        <v>6600</v>
      </c>
      <c r="R784" t="str">
        <f t="shared" si="64"/>
        <v>TL</v>
      </c>
      <c r="S784" t="str">
        <f t="shared" si="65"/>
        <v>MOBİLYA</v>
      </c>
      <c r="T784" t="str">
        <f t="shared" si="66"/>
        <v>mobilya</v>
      </c>
    </row>
    <row r="785" spans="1:20" x14ac:dyDescent="0.25">
      <c r="A785" t="s">
        <v>1422</v>
      </c>
      <c r="B785">
        <v>1398</v>
      </c>
      <c r="C785" t="s">
        <v>1788</v>
      </c>
      <c r="D785" t="s">
        <v>737</v>
      </c>
      <c r="E785">
        <v>1800</v>
      </c>
      <c r="F785" t="s">
        <v>0</v>
      </c>
      <c r="G785" t="s">
        <v>1424</v>
      </c>
      <c r="H785" t="s">
        <v>1425</v>
      </c>
      <c r="I785" t="s">
        <v>1426</v>
      </c>
      <c r="J785" t="s">
        <v>1426</v>
      </c>
      <c r="O785">
        <v>1530</v>
      </c>
      <c r="P785" t="str">
        <f t="shared" si="62"/>
        <v>VESTİYER (İST)</v>
      </c>
      <c r="Q785" s="1">
        <f t="shared" si="63"/>
        <v>9600</v>
      </c>
      <c r="R785" t="str">
        <f t="shared" si="64"/>
        <v>TL</v>
      </c>
      <c r="S785" t="str">
        <f t="shared" si="65"/>
        <v>MOBİLYA</v>
      </c>
      <c r="T785" t="str">
        <f t="shared" si="66"/>
        <v>mobilya</v>
      </c>
    </row>
    <row r="786" spans="1:20" x14ac:dyDescent="0.25">
      <c r="A786" t="s">
        <v>1422</v>
      </c>
      <c r="B786">
        <v>1399</v>
      </c>
      <c r="C786" t="s">
        <v>1787</v>
      </c>
      <c r="D786" t="s">
        <v>738</v>
      </c>
      <c r="E786">
        <v>1800</v>
      </c>
      <c r="F786" t="s">
        <v>0</v>
      </c>
      <c r="G786" t="s">
        <v>1424</v>
      </c>
      <c r="H786" t="s">
        <v>1425</v>
      </c>
      <c r="I786" t="s">
        <v>1426</v>
      </c>
      <c r="J786" t="s">
        <v>1426</v>
      </c>
      <c r="O786">
        <v>1566</v>
      </c>
      <c r="P786" t="str">
        <f t="shared" si="62"/>
        <v>IZGARA UĞUR ELEKTRİKLİ</v>
      </c>
      <c r="Q786" s="1">
        <f t="shared" si="63"/>
        <v>3000</v>
      </c>
      <c r="R786" t="str">
        <f t="shared" si="64"/>
        <v>TL</v>
      </c>
      <c r="S786" t="str">
        <f t="shared" si="65"/>
        <v>KEA</v>
      </c>
      <c r="T786" t="str">
        <f t="shared" si="66"/>
        <v>kea</v>
      </c>
    </row>
    <row r="787" spans="1:20" x14ac:dyDescent="0.25">
      <c r="A787" t="s">
        <v>1422</v>
      </c>
      <c r="B787">
        <v>1400</v>
      </c>
      <c r="C787" t="s">
        <v>1786</v>
      </c>
      <c r="D787" t="s">
        <v>739</v>
      </c>
      <c r="E787">
        <v>1800</v>
      </c>
      <c r="F787" t="s">
        <v>0</v>
      </c>
      <c r="G787" t="s">
        <v>1424</v>
      </c>
      <c r="H787" t="s">
        <v>1425</v>
      </c>
      <c r="I787" t="s">
        <v>1426</v>
      </c>
      <c r="J787" t="s">
        <v>1426</v>
      </c>
    </row>
    <row r="788" spans="1:20" x14ac:dyDescent="0.25">
      <c r="A788" t="s">
        <v>1422</v>
      </c>
      <c r="B788">
        <v>1401</v>
      </c>
      <c r="C788" t="s">
        <v>1785</v>
      </c>
      <c r="D788" t="s">
        <v>740</v>
      </c>
      <c r="E788">
        <v>1800</v>
      </c>
      <c r="F788" t="s">
        <v>0</v>
      </c>
      <c r="G788" t="s">
        <v>1424</v>
      </c>
      <c r="H788" t="s">
        <v>1425</v>
      </c>
      <c r="I788" t="s">
        <v>1426</v>
      </c>
      <c r="J788" t="s">
        <v>1426</v>
      </c>
    </row>
    <row r="789" spans="1:20" x14ac:dyDescent="0.25">
      <c r="A789" t="s">
        <v>1422</v>
      </c>
      <c r="B789">
        <v>1402</v>
      </c>
      <c r="C789" t="s">
        <v>1784</v>
      </c>
      <c r="D789" t="s">
        <v>741</v>
      </c>
      <c r="E789">
        <v>1800</v>
      </c>
      <c r="F789" t="s">
        <v>0</v>
      </c>
      <c r="G789" t="s">
        <v>1424</v>
      </c>
      <c r="H789" t="s">
        <v>1425</v>
      </c>
      <c r="I789" t="s">
        <v>1426</v>
      </c>
      <c r="J789" t="s">
        <v>1426</v>
      </c>
    </row>
    <row r="790" spans="1:20" x14ac:dyDescent="0.25">
      <c r="A790" t="s">
        <v>1422</v>
      </c>
      <c r="B790">
        <v>1403</v>
      </c>
      <c r="C790" t="s">
        <v>1779</v>
      </c>
      <c r="D790" t="s">
        <v>742</v>
      </c>
      <c r="E790">
        <v>1350</v>
      </c>
      <c r="F790" t="s">
        <v>0</v>
      </c>
      <c r="G790" t="s">
        <v>1424</v>
      </c>
      <c r="H790" t="s">
        <v>1425</v>
      </c>
      <c r="I790" t="s">
        <v>1426</v>
      </c>
      <c r="J790" t="s">
        <v>1426</v>
      </c>
    </row>
    <row r="791" spans="1:20" x14ac:dyDescent="0.25">
      <c r="A791" t="s">
        <v>1422</v>
      </c>
      <c r="B791">
        <v>1404</v>
      </c>
      <c r="C791" t="s">
        <v>1778</v>
      </c>
      <c r="D791" t="s">
        <v>743</v>
      </c>
      <c r="E791">
        <v>1350</v>
      </c>
      <c r="F791" t="s">
        <v>0</v>
      </c>
      <c r="G791" t="s">
        <v>1424</v>
      </c>
      <c r="H791" t="s">
        <v>1425</v>
      </c>
      <c r="I791" t="s">
        <v>1426</v>
      </c>
      <c r="J791" t="s">
        <v>1426</v>
      </c>
    </row>
    <row r="792" spans="1:20" x14ac:dyDescent="0.25">
      <c r="A792" t="s">
        <v>1422</v>
      </c>
      <c r="B792">
        <v>1405</v>
      </c>
      <c r="C792" t="s">
        <v>1776</v>
      </c>
      <c r="D792" t="s">
        <v>744</v>
      </c>
      <c r="E792">
        <v>1350</v>
      </c>
      <c r="F792" t="s">
        <v>0</v>
      </c>
      <c r="G792" t="s">
        <v>1424</v>
      </c>
      <c r="H792" t="s">
        <v>1425</v>
      </c>
      <c r="I792" t="s">
        <v>1426</v>
      </c>
      <c r="J792" t="s">
        <v>1426</v>
      </c>
    </row>
    <row r="793" spans="1:20" x14ac:dyDescent="0.25">
      <c r="A793" t="s">
        <v>1422</v>
      </c>
      <c r="B793">
        <v>1406</v>
      </c>
      <c r="C793" t="s">
        <v>1775</v>
      </c>
      <c r="D793" t="s">
        <v>745</v>
      </c>
      <c r="E793">
        <v>1350</v>
      </c>
      <c r="F793" t="s">
        <v>0</v>
      </c>
      <c r="G793" t="s">
        <v>1424</v>
      </c>
      <c r="H793" t="s">
        <v>1425</v>
      </c>
      <c r="I793" t="s">
        <v>1426</v>
      </c>
      <c r="J793" t="s">
        <v>1426</v>
      </c>
    </row>
    <row r="794" spans="1:20" x14ac:dyDescent="0.25">
      <c r="A794" t="s">
        <v>1422</v>
      </c>
      <c r="B794">
        <v>1407</v>
      </c>
      <c r="C794" t="s">
        <v>1774</v>
      </c>
      <c r="D794" t="s">
        <v>746</v>
      </c>
      <c r="E794">
        <v>1350</v>
      </c>
      <c r="F794" t="s">
        <v>0</v>
      </c>
      <c r="G794" t="s">
        <v>1424</v>
      </c>
      <c r="H794" t="s">
        <v>1425</v>
      </c>
      <c r="I794" t="s">
        <v>1426</v>
      </c>
      <c r="J794" t="s">
        <v>1426</v>
      </c>
    </row>
    <row r="795" spans="1:20" x14ac:dyDescent="0.25">
      <c r="A795" t="s">
        <v>1422</v>
      </c>
      <c r="B795">
        <v>1408</v>
      </c>
      <c r="C795" t="s">
        <v>1769</v>
      </c>
      <c r="D795" t="s">
        <v>747</v>
      </c>
      <c r="E795">
        <v>1350</v>
      </c>
      <c r="F795" t="s">
        <v>0</v>
      </c>
      <c r="G795" t="s">
        <v>1424</v>
      </c>
      <c r="H795" t="s">
        <v>1425</v>
      </c>
      <c r="I795" t="s">
        <v>1426</v>
      </c>
      <c r="J795" t="s">
        <v>1426</v>
      </c>
    </row>
    <row r="796" spans="1:20" x14ac:dyDescent="0.25">
      <c r="A796" t="s">
        <v>1422</v>
      </c>
      <c r="B796">
        <v>1409</v>
      </c>
      <c r="C796" t="s">
        <v>1770</v>
      </c>
      <c r="D796" t="s">
        <v>748</v>
      </c>
      <c r="E796">
        <v>1350</v>
      </c>
      <c r="F796" t="s">
        <v>0</v>
      </c>
      <c r="G796" t="s">
        <v>1424</v>
      </c>
      <c r="H796" t="s">
        <v>1425</v>
      </c>
      <c r="I796" t="s">
        <v>1426</v>
      </c>
      <c r="J796" t="s">
        <v>1426</v>
      </c>
    </row>
    <row r="797" spans="1:20" x14ac:dyDescent="0.25">
      <c r="A797" t="s">
        <v>1422</v>
      </c>
      <c r="B797">
        <v>1410</v>
      </c>
      <c r="C797" t="s">
        <v>1771</v>
      </c>
      <c r="D797" t="s">
        <v>749</v>
      </c>
      <c r="E797">
        <v>1350</v>
      </c>
      <c r="F797" t="s">
        <v>0</v>
      </c>
      <c r="G797" t="s">
        <v>1424</v>
      </c>
      <c r="H797" t="s">
        <v>1425</v>
      </c>
      <c r="I797" t="s">
        <v>1426</v>
      </c>
      <c r="J797" t="s">
        <v>1426</v>
      </c>
    </row>
    <row r="798" spans="1:20" x14ac:dyDescent="0.25">
      <c r="A798" t="s">
        <v>1422</v>
      </c>
      <c r="B798">
        <v>1411</v>
      </c>
      <c r="C798" t="s">
        <v>1772</v>
      </c>
      <c r="D798" t="s">
        <v>750</v>
      </c>
      <c r="E798">
        <v>1350</v>
      </c>
      <c r="F798" t="s">
        <v>0</v>
      </c>
      <c r="G798" t="s">
        <v>1424</v>
      </c>
      <c r="H798" t="s">
        <v>1425</v>
      </c>
      <c r="I798" t="s">
        <v>1426</v>
      </c>
      <c r="J798" t="s">
        <v>1426</v>
      </c>
    </row>
    <row r="799" spans="1:20" x14ac:dyDescent="0.25">
      <c r="A799" t="s">
        <v>1422</v>
      </c>
      <c r="B799">
        <v>1412</v>
      </c>
      <c r="C799" t="s">
        <v>1773</v>
      </c>
      <c r="D799" t="s">
        <v>751</v>
      </c>
      <c r="E799">
        <v>1350</v>
      </c>
      <c r="F799" t="s">
        <v>0</v>
      </c>
      <c r="G799" t="s">
        <v>1424</v>
      </c>
      <c r="H799" t="s">
        <v>1425</v>
      </c>
      <c r="I799" t="s">
        <v>1426</v>
      </c>
      <c r="J799" t="s">
        <v>1426</v>
      </c>
    </row>
    <row r="800" spans="1:20" x14ac:dyDescent="0.25">
      <c r="A800" t="s">
        <v>1422</v>
      </c>
      <c r="B800">
        <v>1413</v>
      </c>
      <c r="C800" t="s">
        <v>1742</v>
      </c>
      <c r="D800" t="s">
        <v>752</v>
      </c>
      <c r="E800">
        <v>1800</v>
      </c>
      <c r="F800" t="s">
        <v>0</v>
      </c>
      <c r="G800" t="s">
        <v>1424</v>
      </c>
      <c r="H800" t="s">
        <v>1425</v>
      </c>
      <c r="I800" t="s">
        <v>1426</v>
      </c>
      <c r="J800" t="s">
        <v>1426</v>
      </c>
    </row>
    <row r="801" spans="1:10" x14ac:dyDescent="0.25">
      <c r="A801" t="s">
        <v>1422</v>
      </c>
      <c r="B801">
        <v>1414</v>
      </c>
      <c r="C801" t="s">
        <v>1741</v>
      </c>
      <c r="D801" t="s">
        <v>753</v>
      </c>
      <c r="E801">
        <v>1800</v>
      </c>
      <c r="F801" t="s">
        <v>0</v>
      </c>
      <c r="G801" t="s">
        <v>1424</v>
      </c>
      <c r="H801" t="s">
        <v>1425</v>
      </c>
      <c r="I801" t="s">
        <v>1426</v>
      </c>
      <c r="J801" t="s">
        <v>1426</v>
      </c>
    </row>
    <row r="802" spans="1:10" x14ac:dyDescent="0.25">
      <c r="A802" t="s">
        <v>1422</v>
      </c>
      <c r="B802">
        <v>1415</v>
      </c>
      <c r="C802" t="s">
        <v>1740</v>
      </c>
      <c r="D802" t="s">
        <v>754</v>
      </c>
      <c r="E802">
        <v>1800</v>
      </c>
      <c r="F802" t="s">
        <v>0</v>
      </c>
      <c r="G802" t="s">
        <v>1424</v>
      </c>
      <c r="H802" t="s">
        <v>1425</v>
      </c>
      <c r="I802" t="s">
        <v>1426</v>
      </c>
      <c r="J802" t="s">
        <v>1426</v>
      </c>
    </row>
    <row r="803" spans="1:10" x14ac:dyDescent="0.25">
      <c r="A803" t="s">
        <v>1422</v>
      </c>
      <c r="B803">
        <v>1416</v>
      </c>
      <c r="C803" t="s">
        <v>1739</v>
      </c>
      <c r="D803" t="s">
        <v>755</v>
      </c>
      <c r="E803">
        <v>1800</v>
      </c>
      <c r="F803" t="s">
        <v>0</v>
      </c>
      <c r="G803" t="s">
        <v>1424</v>
      </c>
      <c r="H803" t="s">
        <v>1425</v>
      </c>
      <c r="I803" t="s">
        <v>1426</v>
      </c>
      <c r="J803" t="s">
        <v>1426</v>
      </c>
    </row>
    <row r="804" spans="1:10" x14ac:dyDescent="0.25">
      <c r="A804" t="s">
        <v>1422</v>
      </c>
      <c r="B804">
        <v>1417</v>
      </c>
      <c r="C804" t="s">
        <v>1738</v>
      </c>
      <c r="D804" t="s">
        <v>756</v>
      </c>
      <c r="E804">
        <v>1800</v>
      </c>
      <c r="F804" t="s">
        <v>0</v>
      </c>
      <c r="G804" t="s">
        <v>1424</v>
      </c>
      <c r="H804" t="s">
        <v>1425</v>
      </c>
      <c r="I804" t="s">
        <v>1426</v>
      </c>
      <c r="J804" t="s">
        <v>1426</v>
      </c>
    </row>
    <row r="805" spans="1:10" x14ac:dyDescent="0.25">
      <c r="A805" t="s">
        <v>1422</v>
      </c>
      <c r="B805">
        <v>1418</v>
      </c>
      <c r="C805" t="s">
        <v>1767</v>
      </c>
      <c r="D805" t="s">
        <v>833</v>
      </c>
      <c r="E805">
        <v>1400</v>
      </c>
      <c r="F805" t="s">
        <v>0</v>
      </c>
      <c r="G805" t="s">
        <v>1424</v>
      </c>
      <c r="H805" t="s">
        <v>1425</v>
      </c>
      <c r="I805" t="s">
        <v>1426</v>
      </c>
      <c r="J805" t="s">
        <v>1426</v>
      </c>
    </row>
    <row r="806" spans="1:10" x14ac:dyDescent="0.25">
      <c r="A806" t="s">
        <v>1422</v>
      </c>
      <c r="B806">
        <v>1419</v>
      </c>
      <c r="C806" t="s">
        <v>1766</v>
      </c>
      <c r="D806" t="s">
        <v>834</v>
      </c>
      <c r="E806">
        <v>1400</v>
      </c>
      <c r="F806" t="s">
        <v>0</v>
      </c>
      <c r="G806" t="s">
        <v>1424</v>
      </c>
      <c r="H806" t="s">
        <v>1425</v>
      </c>
      <c r="I806" t="s">
        <v>1426</v>
      </c>
      <c r="J806" t="s">
        <v>1426</v>
      </c>
    </row>
    <row r="807" spans="1:10" x14ac:dyDescent="0.25">
      <c r="A807" t="s">
        <v>1422</v>
      </c>
      <c r="B807">
        <v>1420</v>
      </c>
      <c r="C807" t="s">
        <v>1764</v>
      </c>
      <c r="D807" t="s">
        <v>835</v>
      </c>
      <c r="E807">
        <v>1400</v>
      </c>
      <c r="F807" t="s">
        <v>0</v>
      </c>
      <c r="G807" t="s">
        <v>1424</v>
      </c>
      <c r="H807" t="s">
        <v>1425</v>
      </c>
      <c r="I807" t="s">
        <v>1426</v>
      </c>
      <c r="J807" t="s">
        <v>1426</v>
      </c>
    </row>
    <row r="808" spans="1:10" x14ac:dyDescent="0.25">
      <c r="A808" t="s">
        <v>1422</v>
      </c>
      <c r="B808">
        <v>1421</v>
      </c>
      <c r="C808" t="s">
        <v>1763</v>
      </c>
      <c r="D808" t="s">
        <v>836</v>
      </c>
      <c r="E808">
        <v>1400</v>
      </c>
      <c r="F808" t="s">
        <v>0</v>
      </c>
      <c r="G808" t="s">
        <v>1424</v>
      </c>
      <c r="H808" t="s">
        <v>1425</v>
      </c>
      <c r="I808" t="s">
        <v>1426</v>
      </c>
      <c r="J808" t="s">
        <v>1426</v>
      </c>
    </row>
    <row r="809" spans="1:10" x14ac:dyDescent="0.25">
      <c r="A809" t="s">
        <v>1422</v>
      </c>
      <c r="B809">
        <v>1422</v>
      </c>
      <c r="C809" t="s">
        <v>1762</v>
      </c>
      <c r="D809" t="s">
        <v>837</v>
      </c>
      <c r="E809">
        <v>1400</v>
      </c>
      <c r="F809" t="s">
        <v>0</v>
      </c>
      <c r="G809" t="s">
        <v>1424</v>
      </c>
      <c r="H809" t="s">
        <v>1425</v>
      </c>
      <c r="I809" t="s">
        <v>1426</v>
      </c>
      <c r="J809" t="s">
        <v>1426</v>
      </c>
    </row>
    <row r="810" spans="1:10" x14ac:dyDescent="0.25">
      <c r="A810" t="s">
        <v>1422</v>
      </c>
      <c r="B810">
        <v>1423</v>
      </c>
      <c r="C810" t="s">
        <v>1783</v>
      </c>
      <c r="D810" t="s">
        <v>757</v>
      </c>
      <c r="E810">
        <v>1800</v>
      </c>
      <c r="F810" t="s">
        <v>0</v>
      </c>
      <c r="G810" t="s">
        <v>1424</v>
      </c>
      <c r="H810" t="s">
        <v>1425</v>
      </c>
      <c r="I810" t="s">
        <v>1426</v>
      </c>
      <c r="J810" t="s">
        <v>1426</v>
      </c>
    </row>
    <row r="811" spans="1:10" x14ac:dyDescent="0.25">
      <c r="A811" t="s">
        <v>1422</v>
      </c>
      <c r="B811">
        <v>1424</v>
      </c>
      <c r="C811" t="s">
        <v>1782</v>
      </c>
      <c r="D811" t="s">
        <v>758</v>
      </c>
      <c r="E811">
        <v>1800</v>
      </c>
      <c r="F811" t="s">
        <v>0</v>
      </c>
      <c r="G811" t="s">
        <v>1424</v>
      </c>
      <c r="H811" t="s">
        <v>1425</v>
      </c>
      <c r="I811" t="s">
        <v>1426</v>
      </c>
      <c r="J811" t="s">
        <v>1426</v>
      </c>
    </row>
    <row r="812" spans="1:10" x14ac:dyDescent="0.25">
      <c r="A812" t="s">
        <v>1422</v>
      </c>
      <c r="B812">
        <v>1425</v>
      </c>
      <c r="C812" t="s">
        <v>2009</v>
      </c>
      <c r="D812" t="s">
        <v>759</v>
      </c>
      <c r="E812">
        <v>9500</v>
      </c>
      <c r="F812" t="s">
        <v>0</v>
      </c>
      <c r="G812" t="s">
        <v>1424</v>
      </c>
      <c r="H812" t="s">
        <v>1425</v>
      </c>
      <c r="I812" t="s">
        <v>1426</v>
      </c>
      <c r="J812" t="s">
        <v>1426</v>
      </c>
    </row>
    <row r="813" spans="1:10" x14ac:dyDescent="0.25">
      <c r="A813" t="s">
        <v>1422</v>
      </c>
      <c r="B813">
        <v>1426</v>
      </c>
      <c r="C813" t="s">
        <v>2052</v>
      </c>
      <c r="D813" t="s">
        <v>760</v>
      </c>
      <c r="E813">
        <v>7500</v>
      </c>
      <c r="F813" t="s">
        <v>0</v>
      </c>
      <c r="G813" t="s">
        <v>1424</v>
      </c>
      <c r="H813" t="s">
        <v>1425</v>
      </c>
      <c r="I813" t="s">
        <v>1426</v>
      </c>
      <c r="J813" t="s">
        <v>1426</v>
      </c>
    </row>
    <row r="814" spans="1:10" x14ac:dyDescent="0.25">
      <c r="A814" t="s">
        <v>1422</v>
      </c>
      <c r="B814">
        <v>1427</v>
      </c>
      <c r="C814" t="s">
        <v>2041</v>
      </c>
      <c r="D814" t="s">
        <v>761</v>
      </c>
      <c r="E814">
        <v>6500</v>
      </c>
      <c r="F814" t="s">
        <v>0</v>
      </c>
      <c r="G814" t="s">
        <v>1424</v>
      </c>
      <c r="H814" t="s">
        <v>1425</v>
      </c>
      <c r="I814" t="s">
        <v>1426</v>
      </c>
      <c r="J814" t="s">
        <v>1426</v>
      </c>
    </row>
    <row r="815" spans="1:10" x14ac:dyDescent="0.25">
      <c r="A815" t="s">
        <v>1422</v>
      </c>
      <c r="B815">
        <v>1428</v>
      </c>
      <c r="C815" t="s">
        <v>2033</v>
      </c>
      <c r="D815" t="s">
        <v>762</v>
      </c>
      <c r="E815">
        <v>3500</v>
      </c>
      <c r="F815" t="s">
        <v>0</v>
      </c>
      <c r="G815" t="s">
        <v>1424</v>
      </c>
      <c r="H815" t="s">
        <v>1425</v>
      </c>
      <c r="I815" t="s">
        <v>1426</v>
      </c>
      <c r="J815" t="s">
        <v>1426</v>
      </c>
    </row>
    <row r="816" spans="1:10" x14ac:dyDescent="0.25">
      <c r="A816" t="s">
        <v>1422</v>
      </c>
      <c r="B816">
        <v>1429</v>
      </c>
      <c r="C816" t="s">
        <v>2038</v>
      </c>
      <c r="D816" t="s">
        <v>763</v>
      </c>
      <c r="E816">
        <v>3500</v>
      </c>
      <c r="F816" t="s">
        <v>0</v>
      </c>
      <c r="G816" t="s">
        <v>1424</v>
      </c>
      <c r="H816" t="s">
        <v>1425</v>
      </c>
      <c r="I816" t="s">
        <v>1426</v>
      </c>
      <c r="J816" t="s">
        <v>1426</v>
      </c>
    </row>
    <row r="817" spans="1:10" x14ac:dyDescent="0.25">
      <c r="A817" t="s">
        <v>1422</v>
      </c>
      <c r="B817">
        <v>1430</v>
      </c>
      <c r="C817" t="s">
        <v>2036</v>
      </c>
      <c r="D817" t="s">
        <v>764</v>
      </c>
      <c r="E817">
        <v>3500</v>
      </c>
      <c r="F817" t="s">
        <v>0</v>
      </c>
      <c r="G817" t="s">
        <v>1424</v>
      </c>
      <c r="H817" t="s">
        <v>1425</v>
      </c>
      <c r="I817" t="s">
        <v>1426</v>
      </c>
      <c r="J817" t="s">
        <v>1426</v>
      </c>
    </row>
    <row r="818" spans="1:10" x14ac:dyDescent="0.25">
      <c r="A818" t="s">
        <v>1422</v>
      </c>
      <c r="B818">
        <v>1431</v>
      </c>
      <c r="C818" t="s">
        <v>2032</v>
      </c>
      <c r="D818" t="s">
        <v>765</v>
      </c>
      <c r="E818">
        <v>3500</v>
      </c>
      <c r="F818" t="s">
        <v>0</v>
      </c>
      <c r="G818" t="s">
        <v>1424</v>
      </c>
      <c r="H818" t="s">
        <v>1425</v>
      </c>
      <c r="I818" t="s">
        <v>1426</v>
      </c>
      <c r="J818" t="s">
        <v>1426</v>
      </c>
    </row>
    <row r="819" spans="1:10" x14ac:dyDescent="0.25">
      <c r="A819" t="s">
        <v>1422</v>
      </c>
      <c r="B819">
        <v>1432</v>
      </c>
      <c r="C819" t="s">
        <v>2037</v>
      </c>
      <c r="D819" t="s">
        <v>766</v>
      </c>
      <c r="E819">
        <v>3500</v>
      </c>
      <c r="F819" t="s">
        <v>0</v>
      </c>
      <c r="G819" t="s">
        <v>1424</v>
      </c>
      <c r="H819" t="s">
        <v>1425</v>
      </c>
      <c r="I819" t="s">
        <v>1426</v>
      </c>
      <c r="J819" t="s">
        <v>1426</v>
      </c>
    </row>
    <row r="820" spans="1:10" x14ac:dyDescent="0.25">
      <c r="A820" t="s">
        <v>1422</v>
      </c>
      <c r="B820">
        <v>1433</v>
      </c>
      <c r="C820" t="s">
        <v>2039</v>
      </c>
      <c r="D820" t="s">
        <v>767</v>
      </c>
      <c r="E820">
        <v>3500</v>
      </c>
      <c r="F820" t="s">
        <v>0</v>
      </c>
      <c r="G820" t="s">
        <v>1424</v>
      </c>
      <c r="H820" t="s">
        <v>1425</v>
      </c>
      <c r="I820" t="s">
        <v>1426</v>
      </c>
      <c r="J820" t="s">
        <v>1426</v>
      </c>
    </row>
    <row r="821" spans="1:10" x14ac:dyDescent="0.25">
      <c r="A821" t="s">
        <v>1422</v>
      </c>
      <c r="B821">
        <v>1434</v>
      </c>
      <c r="C821" t="s">
        <v>1999</v>
      </c>
      <c r="D821" t="s">
        <v>768</v>
      </c>
      <c r="E821">
        <v>2500</v>
      </c>
      <c r="F821" t="s">
        <v>0</v>
      </c>
      <c r="G821" t="s">
        <v>1424</v>
      </c>
      <c r="H821" t="s">
        <v>1425</v>
      </c>
      <c r="I821" t="s">
        <v>1426</v>
      </c>
      <c r="J821" t="s">
        <v>1426</v>
      </c>
    </row>
    <row r="822" spans="1:10" x14ac:dyDescent="0.25">
      <c r="A822" t="s">
        <v>1422</v>
      </c>
      <c r="B822">
        <v>1435</v>
      </c>
      <c r="C822" t="s">
        <v>2000</v>
      </c>
      <c r="D822" t="s">
        <v>769</v>
      </c>
      <c r="E822">
        <v>2500</v>
      </c>
      <c r="F822" t="s">
        <v>0</v>
      </c>
      <c r="G822" t="s">
        <v>1424</v>
      </c>
      <c r="H822" t="s">
        <v>1425</v>
      </c>
      <c r="I822" t="s">
        <v>1426</v>
      </c>
      <c r="J822" t="s">
        <v>1426</v>
      </c>
    </row>
    <row r="823" spans="1:10" x14ac:dyDescent="0.25">
      <c r="A823" t="s">
        <v>1422</v>
      </c>
      <c r="B823">
        <v>1436</v>
      </c>
      <c r="C823" t="s">
        <v>2002</v>
      </c>
      <c r="D823" t="s">
        <v>770</v>
      </c>
      <c r="E823">
        <v>2500</v>
      </c>
      <c r="F823" t="s">
        <v>0</v>
      </c>
      <c r="G823" t="s">
        <v>1424</v>
      </c>
      <c r="H823" t="s">
        <v>1425</v>
      </c>
      <c r="I823" t="s">
        <v>1426</v>
      </c>
      <c r="J823" t="s">
        <v>1426</v>
      </c>
    </row>
    <row r="824" spans="1:10" x14ac:dyDescent="0.25">
      <c r="A824" t="s">
        <v>1422</v>
      </c>
      <c r="B824">
        <v>1437</v>
      </c>
      <c r="C824" t="s">
        <v>2001</v>
      </c>
      <c r="D824" t="s">
        <v>771</v>
      </c>
      <c r="E824">
        <v>2500</v>
      </c>
      <c r="F824" t="s">
        <v>0</v>
      </c>
      <c r="G824" t="s">
        <v>1424</v>
      </c>
      <c r="H824" t="s">
        <v>1425</v>
      </c>
      <c r="I824" t="s">
        <v>1426</v>
      </c>
      <c r="J824" t="s">
        <v>1426</v>
      </c>
    </row>
    <row r="825" spans="1:10" x14ac:dyDescent="0.25">
      <c r="A825" t="s">
        <v>1422</v>
      </c>
      <c r="B825">
        <v>1438</v>
      </c>
      <c r="C825" t="s">
        <v>1610</v>
      </c>
      <c r="D825" t="s">
        <v>772</v>
      </c>
      <c r="E825">
        <v>1650</v>
      </c>
      <c r="F825" t="s">
        <v>0</v>
      </c>
      <c r="G825" t="s">
        <v>1525</v>
      </c>
      <c r="H825" t="s">
        <v>1425</v>
      </c>
      <c r="I825" t="s">
        <v>1426</v>
      </c>
      <c r="J825" t="s">
        <v>1426</v>
      </c>
    </row>
    <row r="826" spans="1:10" x14ac:dyDescent="0.25">
      <c r="A826" t="s">
        <v>1422</v>
      </c>
      <c r="B826">
        <v>1441</v>
      </c>
      <c r="C826" t="s">
        <v>2355</v>
      </c>
      <c r="D826" t="s">
        <v>773</v>
      </c>
      <c r="E826">
        <v>1000</v>
      </c>
      <c r="F826" t="s">
        <v>0</v>
      </c>
      <c r="G826" t="s">
        <v>1626</v>
      </c>
      <c r="H826" t="s">
        <v>1425</v>
      </c>
      <c r="I826" t="s">
        <v>1426</v>
      </c>
      <c r="J826" t="s">
        <v>1426</v>
      </c>
    </row>
    <row r="827" spans="1:10" x14ac:dyDescent="0.25">
      <c r="A827" t="s">
        <v>1422</v>
      </c>
      <c r="B827">
        <v>1446</v>
      </c>
      <c r="C827" t="s">
        <v>2167</v>
      </c>
      <c r="D827" t="s">
        <v>774</v>
      </c>
      <c r="E827">
        <v>600</v>
      </c>
      <c r="F827" t="s">
        <v>0</v>
      </c>
      <c r="G827" t="s">
        <v>1626</v>
      </c>
      <c r="H827" t="s">
        <v>1425</v>
      </c>
      <c r="I827" t="s">
        <v>1426</v>
      </c>
      <c r="J827" t="s">
        <v>1426</v>
      </c>
    </row>
    <row r="828" spans="1:10" x14ac:dyDescent="0.25">
      <c r="A828" t="s">
        <v>1422</v>
      </c>
      <c r="B828">
        <v>1447</v>
      </c>
      <c r="C828" t="s">
        <v>2006</v>
      </c>
      <c r="D828" t="s">
        <v>775</v>
      </c>
      <c r="E828">
        <v>7500</v>
      </c>
      <c r="F828" t="s">
        <v>0</v>
      </c>
      <c r="G828" t="s">
        <v>1424</v>
      </c>
      <c r="H828" t="s">
        <v>1425</v>
      </c>
      <c r="I828" t="s">
        <v>1426</v>
      </c>
      <c r="J828" t="s">
        <v>1426</v>
      </c>
    </row>
    <row r="829" spans="1:10" x14ac:dyDescent="0.25">
      <c r="A829" t="s">
        <v>1422</v>
      </c>
      <c r="B829">
        <v>1450</v>
      </c>
      <c r="C829" t="s">
        <v>1708</v>
      </c>
      <c r="D829" t="s">
        <v>776</v>
      </c>
      <c r="E829">
        <v>2700</v>
      </c>
      <c r="F829" t="s">
        <v>0</v>
      </c>
      <c r="G829" t="s">
        <v>1560</v>
      </c>
      <c r="H829" t="s">
        <v>1425</v>
      </c>
      <c r="I829" t="s">
        <v>1426</v>
      </c>
      <c r="J829" t="s">
        <v>1426</v>
      </c>
    </row>
    <row r="830" spans="1:10" x14ac:dyDescent="0.25">
      <c r="A830" t="s">
        <v>1422</v>
      </c>
      <c r="B830">
        <v>1452</v>
      </c>
      <c r="C830" t="s">
        <v>1655</v>
      </c>
      <c r="D830" t="s">
        <v>777</v>
      </c>
      <c r="E830">
        <v>2500</v>
      </c>
      <c r="F830" t="s">
        <v>0</v>
      </c>
      <c r="G830" t="s">
        <v>1525</v>
      </c>
      <c r="H830" t="s">
        <v>1425</v>
      </c>
      <c r="I830" t="s">
        <v>1426</v>
      </c>
      <c r="J830" t="s">
        <v>1426</v>
      </c>
    </row>
    <row r="831" spans="1:10" x14ac:dyDescent="0.25">
      <c r="A831" t="s">
        <v>1422</v>
      </c>
      <c r="B831">
        <v>1455</v>
      </c>
      <c r="C831" t="s">
        <v>1710</v>
      </c>
      <c r="D831" t="s">
        <v>807</v>
      </c>
      <c r="E831">
        <v>8000</v>
      </c>
      <c r="F831" t="s">
        <v>0</v>
      </c>
      <c r="G831" t="s">
        <v>1525</v>
      </c>
      <c r="H831" t="s">
        <v>1425</v>
      </c>
      <c r="I831" t="s">
        <v>1426</v>
      </c>
      <c r="J831" t="s">
        <v>1426</v>
      </c>
    </row>
    <row r="832" spans="1:10" x14ac:dyDescent="0.25">
      <c r="A832" t="s">
        <v>1422</v>
      </c>
      <c r="B832">
        <v>1456</v>
      </c>
      <c r="C832" t="s">
        <v>1825</v>
      </c>
      <c r="D832" t="s">
        <v>778</v>
      </c>
      <c r="E832">
        <v>750</v>
      </c>
      <c r="F832" t="s">
        <v>0</v>
      </c>
      <c r="G832" t="s">
        <v>1525</v>
      </c>
      <c r="H832" t="s">
        <v>1425</v>
      </c>
      <c r="I832" t="s">
        <v>1426</v>
      </c>
      <c r="J832" t="s">
        <v>1426</v>
      </c>
    </row>
    <row r="833" spans="1:10" x14ac:dyDescent="0.25">
      <c r="A833" t="s">
        <v>1422</v>
      </c>
      <c r="B833">
        <v>1457</v>
      </c>
      <c r="C833" t="s">
        <v>1816</v>
      </c>
      <c r="D833" t="s">
        <v>779</v>
      </c>
      <c r="E833">
        <v>750</v>
      </c>
      <c r="F833" t="s">
        <v>0</v>
      </c>
      <c r="G833" t="s">
        <v>1525</v>
      </c>
      <c r="H833" t="s">
        <v>1425</v>
      </c>
      <c r="I833" t="s">
        <v>1426</v>
      </c>
      <c r="J833" t="s">
        <v>1426</v>
      </c>
    </row>
    <row r="834" spans="1:10" x14ac:dyDescent="0.25">
      <c r="A834" t="s">
        <v>1422</v>
      </c>
      <c r="B834">
        <v>1458</v>
      </c>
      <c r="C834" t="s">
        <v>2212</v>
      </c>
      <c r="D834" t="s">
        <v>780</v>
      </c>
      <c r="E834">
        <v>1500</v>
      </c>
      <c r="F834" t="s">
        <v>0</v>
      </c>
      <c r="G834" t="s">
        <v>1525</v>
      </c>
      <c r="H834" t="s">
        <v>1425</v>
      </c>
      <c r="I834" t="s">
        <v>1426</v>
      </c>
      <c r="J834" t="s">
        <v>1426</v>
      </c>
    </row>
    <row r="835" spans="1:10" x14ac:dyDescent="0.25">
      <c r="A835" t="s">
        <v>1422</v>
      </c>
      <c r="B835">
        <v>1459</v>
      </c>
      <c r="C835" t="s">
        <v>1807</v>
      </c>
      <c r="D835" t="s">
        <v>781</v>
      </c>
      <c r="E835">
        <v>850</v>
      </c>
      <c r="F835" t="s">
        <v>0</v>
      </c>
      <c r="G835" t="s">
        <v>1525</v>
      </c>
      <c r="H835" t="s">
        <v>1425</v>
      </c>
      <c r="I835" t="s">
        <v>1426</v>
      </c>
      <c r="J835" t="s">
        <v>1426</v>
      </c>
    </row>
    <row r="836" spans="1:10" x14ac:dyDescent="0.25">
      <c r="A836" t="s">
        <v>1422</v>
      </c>
      <c r="B836">
        <v>1460</v>
      </c>
      <c r="C836" t="s">
        <v>1578</v>
      </c>
      <c r="D836" t="s">
        <v>782</v>
      </c>
      <c r="E836">
        <v>0</v>
      </c>
      <c r="F836" t="s">
        <v>0</v>
      </c>
      <c r="G836" t="s">
        <v>1525</v>
      </c>
      <c r="H836" t="s">
        <v>1425</v>
      </c>
      <c r="I836" t="s">
        <v>1426</v>
      </c>
      <c r="J836" t="s">
        <v>1426</v>
      </c>
    </row>
    <row r="837" spans="1:10" x14ac:dyDescent="0.25">
      <c r="A837" t="s">
        <v>1422</v>
      </c>
      <c r="B837">
        <v>1461</v>
      </c>
      <c r="C837" t="s">
        <v>1575</v>
      </c>
      <c r="D837" t="s">
        <v>783</v>
      </c>
      <c r="E837">
        <v>2550</v>
      </c>
      <c r="F837" t="s">
        <v>0</v>
      </c>
      <c r="G837" t="s">
        <v>1525</v>
      </c>
      <c r="H837" t="s">
        <v>1425</v>
      </c>
      <c r="I837" t="s">
        <v>1426</v>
      </c>
      <c r="J837" t="s">
        <v>1426</v>
      </c>
    </row>
    <row r="838" spans="1:10" x14ac:dyDescent="0.25">
      <c r="A838" t="s">
        <v>1422</v>
      </c>
      <c r="B838">
        <v>1462</v>
      </c>
      <c r="C838" t="s">
        <v>2198</v>
      </c>
      <c r="D838" t="s">
        <v>784</v>
      </c>
      <c r="E838">
        <v>2000</v>
      </c>
      <c r="F838" t="s">
        <v>0</v>
      </c>
      <c r="G838" t="s">
        <v>1525</v>
      </c>
      <c r="H838" t="s">
        <v>1425</v>
      </c>
      <c r="I838" t="s">
        <v>1426</v>
      </c>
      <c r="J838" t="s">
        <v>1426</v>
      </c>
    </row>
    <row r="839" spans="1:10" x14ac:dyDescent="0.25">
      <c r="A839" t="s">
        <v>1422</v>
      </c>
      <c r="B839">
        <v>1463</v>
      </c>
      <c r="C839" t="s">
        <v>1648</v>
      </c>
      <c r="D839" t="s">
        <v>785</v>
      </c>
      <c r="E839">
        <v>4900</v>
      </c>
      <c r="F839" t="s">
        <v>0</v>
      </c>
      <c r="G839" t="s">
        <v>1525</v>
      </c>
      <c r="H839" t="s">
        <v>1425</v>
      </c>
      <c r="I839" t="s">
        <v>1426</v>
      </c>
      <c r="J839" t="s">
        <v>1426</v>
      </c>
    </row>
    <row r="840" spans="1:10" x14ac:dyDescent="0.25">
      <c r="A840" t="s">
        <v>1422</v>
      </c>
      <c r="B840">
        <v>1464</v>
      </c>
      <c r="C840" t="s">
        <v>1791</v>
      </c>
      <c r="D840" t="s">
        <v>786</v>
      </c>
      <c r="E840">
        <v>1800</v>
      </c>
      <c r="F840" t="s">
        <v>0</v>
      </c>
      <c r="G840" t="s">
        <v>1424</v>
      </c>
      <c r="H840" t="s">
        <v>1425</v>
      </c>
      <c r="I840" t="s">
        <v>1426</v>
      </c>
      <c r="J840" t="s">
        <v>1426</v>
      </c>
    </row>
    <row r="841" spans="1:10" x14ac:dyDescent="0.25">
      <c r="A841" t="s">
        <v>1422</v>
      </c>
      <c r="B841">
        <v>1465</v>
      </c>
      <c r="C841" t="s">
        <v>2309</v>
      </c>
      <c r="D841" t="s">
        <v>787</v>
      </c>
      <c r="E841">
        <v>2100</v>
      </c>
      <c r="F841" t="s">
        <v>0</v>
      </c>
      <c r="G841" t="s">
        <v>1525</v>
      </c>
      <c r="H841" t="s">
        <v>1425</v>
      </c>
      <c r="I841" t="s">
        <v>1426</v>
      </c>
      <c r="J841" t="s">
        <v>1426</v>
      </c>
    </row>
    <row r="842" spans="1:10" x14ac:dyDescent="0.25">
      <c r="A842" t="s">
        <v>1422</v>
      </c>
      <c r="B842">
        <v>1466</v>
      </c>
      <c r="C842" t="s">
        <v>1985</v>
      </c>
      <c r="D842" t="s">
        <v>788</v>
      </c>
      <c r="E842">
        <v>2250</v>
      </c>
      <c r="F842" t="s">
        <v>0</v>
      </c>
      <c r="G842" t="s">
        <v>1560</v>
      </c>
      <c r="H842" t="s">
        <v>1425</v>
      </c>
      <c r="I842" t="s">
        <v>1426</v>
      </c>
      <c r="J842" t="s">
        <v>1426</v>
      </c>
    </row>
    <row r="843" spans="1:10" x14ac:dyDescent="0.25">
      <c r="A843" t="s">
        <v>1422</v>
      </c>
      <c r="B843">
        <v>1467</v>
      </c>
      <c r="C843" t="s">
        <v>1988</v>
      </c>
      <c r="D843" t="s">
        <v>789</v>
      </c>
      <c r="E843">
        <v>4500</v>
      </c>
      <c r="F843" t="s">
        <v>0</v>
      </c>
      <c r="G843" t="s">
        <v>1560</v>
      </c>
      <c r="H843" t="s">
        <v>1425</v>
      </c>
      <c r="I843" t="s">
        <v>1426</v>
      </c>
      <c r="J843" t="s">
        <v>1426</v>
      </c>
    </row>
    <row r="844" spans="1:10" x14ac:dyDescent="0.25">
      <c r="A844" t="s">
        <v>1422</v>
      </c>
      <c r="B844">
        <v>1468</v>
      </c>
      <c r="C844" t="s">
        <v>1984</v>
      </c>
      <c r="D844" t="s">
        <v>790</v>
      </c>
      <c r="E844">
        <v>6750</v>
      </c>
      <c r="F844" t="s">
        <v>0</v>
      </c>
      <c r="G844" t="s">
        <v>1560</v>
      </c>
      <c r="H844" t="s">
        <v>1425</v>
      </c>
      <c r="I844" t="s">
        <v>1426</v>
      </c>
      <c r="J844" t="s">
        <v>1426</v>
      </c>
    </row>
    <row r="845" spans="1:10" x14ac:dyDescent="0.25">
      <c r="A845" t="s">
        <v>1422</v>
      </c>
      <c r="B845">
        <v>1469</v>
      </c>
      <c r="C845" t="s">
        <v>2090</v>
      </c>
      <c r="D845" t="s">
        <v>838</v>
      </c>
      <c r="E845">
        <v>2000</v>
      </c>
      <c r="F845" t="s">
        <v>0</v>
      </c>
      <c r="G845" t="s">
        <v>1560</v>
      </c>
      <c r="H845" t="s">
        <v>1425</v>
      </c>
      <c r="I845" t="s">
        <v>1426</v>
      </c>
      <c r="J845" t="s">
        <v>1426</v>
      </c>
    </row>
    <row r="846" spans="1:10" x14ac:dyDescent="0.25">
      <c r="A846" t="s">
        <v>1422</v>
      </c>
      <c r="B846">
        <v>1470</v>
      </c>
      <c r="C846" t="s">
        <v>1637</v>
      </c>
      <c r="D846" t="s">
        <v>839</v>
      </c>
      <c r="E846">
        <v>5000</v>
      </c>
      <c r="F846" t="s">
        <v>0</v>
      </c>
      <c r="G846" t="s">
        <v>1560</v>
      </c>
      <c r="H846" t="s">
        <v>1425</v>
      </c>
      <c r="I846" t="s">
        <v>1426</v>
      </c>
      <c r="J846" t="s">
        <v>1426</v>
      </c>
    </row>
    <row r="847" spans="1:10" x14ac:dyDescent="0.25">
      <c r="A847" t="s">
        <v>1422</v>
      </c>
      <c r="B847">
        <v>1471</v>
      </c>
      <c r="C847" t="s">
        <v>1581</v>
      </c>
      <c r="D847" t="s">
        <v>791</v>
      </c>
      <c r="E847">
        <v>0</v>
      </c>
      <c r="F847" t="s">
        <v>0</v>
      </c>
      <c r="G847" t="s">
        <v>1525</v>
      </c>
      <c r="H847" t="s">
        <v>1425</v>
      </c>
      <c r="I847" t="s">
        <v>1426</v>
      </c>
      <c r="J847" t="s">
        <v>1426</v>
      </c>
    </row>
    <row r="848" spans="1:10" x14ac:dyDescent="0.25">
      <c r="A848" t="s">
        <v>1422</v>
      </c>
      <c r="B848">
        <v>1473</v>
      </c>
      <c r="C848" t="s">
        <v>2031</v>
      </c>
      <c r="D848" t="s">
        <v>792</v>
      </c>
      <c r="E848">
        <v>3500</v>
      </c>
      <c r="F848" t="s">
        <v>0</v>
      </c>
      <c r="G848" t="s">
        <v>1424</v>
      </c>
      <c r="H848" t="s">
        <v>1425</v>
      </c>
      <c r="I848" t="s">
        <v>1426</v>
      </c>
      <c r="J848" t="s">
        <v>1426</v>
      </c>
    </row>
    <row r="849" spans="1:10" x14ac:dyDescent="0.25">
      <c r="A849" t="s">
        <v>1422</v>
      </c>
      <c r="B849">
        <v>1474</v>
      </c>
      <c r="C849" t="s">
        <v>2035</v>
      </c>
      <c r="D849" t="s">
        <v>793</v>
      </c>
      <c r="E849">
        <v>3500</v>
      </c>
      <c r="F849" t="s">
        <v>0</v>
      </c>
      <c r="G849" t="s">
        <v>1424</v>
      </c>
      <c r="H849" t="s">
        <v>1425</v>
      </c>
      <c r="I849" t="s">
        <v>1426</v>
      </c>
      <c r="J849" t="s">
        <v>1426</v>
      </c>
    </row>
    <row r="850" spans="1:10" x14ac:dyDescent="0.25">
      <c r="A850" t="s">
        <v>1422</v>
      </c>
      <c r="B850">
        <v>1475</v>
      </c>
      <c r="C850" t="s">
        <v>2023</v>
      </c>
      <c r="D850" t="s">
        <v>794</v>
      </c>
      <c r="E850">
        <v>7000</v>
      </c>
      <c r="F850" t="s">
        <v>0</v>
      </c>
      <c r="G850" t="s">
        <v>1424</v>
      </c>
      <c r="H850" t="s">
        <v>1425</v>
      </c>
      <c r="I850" t="s">
        <v>1426</v>
      </c>
      <c r="J850" t="s">
        <v>1426</v>
      </c>
    </row>
    <row r="851" spans="1:10" x14ac:dyDescent="0.25">
      <c r="A851" t="s">
        <v>1422</v>
      </c>
      <c r="B851">
        <v>1476</v>
      </c>
      <c r="C851" t="s">
        <v>2027</v>
      </c>
      <c r="D851" t="s">
        <v>795</v>
      </c>
      <c r="E851">
        <v>7000</v>
      </c>
      <c r="F851" t="s">
        <v>0</v>
      </c>
      <c r="G851" t="s">
        <v>1424</v>
      </c>
      <c r="H851" t="s">
        <v>1425</v>
      </c>
      <c r="I851" t="s">
        <v>1426</v>
      </c>
      <c r="J851" t="s">
        <v>1426</v>
      </c>
    </row>
    <row r="852" spans="1:10" x14ac:dyDescent="0.25">
      <c r="A852" t="s">
        <v>1422</v>
      </c>
      <c r="B852">
        <v>1477</v>
      </c>
      <c r="C852" t="s">
        <v>2024</v>
      </c>
      <c r="D852" t="s">
        <v>796</v>
      </c>
      <c r="E852">
        <v>7000</v>
      </c>
      <c r="F852" t="s">
        <v>0</v>
      </c>
      <c r="G852" t="s">
        <v>1424</v>
      </c>
      <c r="H852" t="s">
        <v>1425</v>
      </c>
      <c r="I852" t="s">
        <v>1426</v>
      </c>
      <c r="J852" t="s">
        <v>1426</v>
      </c>
    </row>
    <row r="853" spans="1:10" x14ac:dyDescent="0.25">
      <c r="A853" t="s">
        <v>1422</v>
      </c>
      <c r="B853">
        <v>1478</v>
      </c>
      <c r="C853" t="s">
        <v>2057</v>
      </c>
      <c r="D853" t="s">
        <v>797</v>
      </c>
      <c r="E853">
        <v>1750</v>
      </c>
      <c r="F853" t="s">
        <v>0</v>
      </c>
      <c r="G853" t="s">
        <v>1424</v>
      </c>
      <c r="H853" t="s">
        <v>1425</v>
      </c>
      <c r="I853" t="s">
        <v>1426</v>
      </c>
      <c r="J853" t="s">
        <v>1426</v>
      </c>
    </row>
    <row r="854" spans="1:10" x14ac:dyDescent="0.25">
      <c r="A854" t="s">
        <v>1422</v>
      </c>
      <c r="B854">
        <v>1479</v>
      </c>
      <c r="C854" t="s">
        <v>1790</v>
      </c>
      <c r="D854" t="s">
        <v>829</v>
      </c>
      <c r="E854">
        <v>1600</v>
      </c>
      <c r="F854" t="s">
        <v>0</v>
      </c>
      <c r="G854" t="s">
        <v>1424</v>
      </c>
      <c r="H854" t="s">
        <v>1425</v>
      </c>
      <c r="I854" t="s">
        <v>1426</v>
      </c>
      <c r="J854" t="s">
        <v>1426</v>
      </c>
    </row>
    <row r="855" spans="1:10" x14ac:dyDescent="0.25">
      <c r="A855" t="s">
        <v>1422</v>
      </c>
      <c r="B855">
        <v>1481</v>
      </c>
      <c r="C855" t="s">
        <v>2004</v>
      </c>
      <c r="D855" t="s">
        <v>798</v>
      </c>
      <c r="E855">
        <v>3000</v>
      </c>
      <c r="F855" t="s">
        <v>0</v>
      </c>
      <c r="G855" t="s">
        <v>1424</v>
      </c>
      <c r="H855" t="s">
        <v>1425</v>
      </c>
      <c r="I855" t="s">
        <v>1426</v>
      </c>
      <c r="J855" t="s">
        <v>1426</v>
      </c>
    </row>
    <row r="856" spans="1:10" x14ac:dyDescent="0.25">
      <c r="A856" t="s">
        <v>1422</v>
      </c>
      <c r="B856">
        <v>1482</v>
      </c>
      <c r="C856" t="s">
        <v>1547</v>
      </c>
      <c r="D856" t="s">
        <v>799</v>
      </c>
      <c r="E856">
        <v>4000</v>
      </c>
      <c r="F856" t="s">
        <v>0</v>
      </c>
      <c r="G856" t="s">
        <v>1424</v>
      </c>
      <c r="H856" t="s">
        <v>1425</v>
      </c>
      <c r="I856" t="s">
        <v>1426</v>
      </c>
      <c r="J856" t="s">
        <v>1426</v>
      </c>
    </row>
    <row r="857" spans="1:10" x14ac:dyDescent="0.25">
      <c r="A857" t="s">
        <v>1422</v>
      </c>
      <c r="B857">
        <v>1484</v>
      </c>
      <c r="C857" t="s">
        <v>2237</v>
      </c>
      <c r="D857" t="s">
        <v>840</v>
      </c>
      <c r="E857">
        <v>9000</v>
      </c>
      <c r="F857" t="s">
        <v>0</v>
      </c>
      <c r="G857" t="s">
        <v>1560</v>
      </c>
      <c r="H857" t="s">
        <v>1425</v>
      </c>
      <c r="I857" t="s">
        <v>1426</v>
      </c>
      <c r="J857" t="s">
        <v>1426</v>
      </c>
    </row>
    <row r="858" spans="1:10" x14ac:dyDescent="0.25">
      <c r="A858" t="s">
        <v>1422</v>
      </c>
      <c r="B858">
        <v>1489</v>
      </c>
      <c r="C858" t="s">
        <v>2127</v>
      </c>
      <c r="D858" t="s">
        <v>800</v>
      </c>
      <c r="E858">
        <v>125</v>
      </c>
      <c r="F858" t="s">
        <v>0</v>
      </c>
      <c r="G858" t="s">
        <v>1553</v>
      </c>
      <c r="H858" t="s">
        <v>1425</v>
      </c>
      <c r="I858" t="s">
        <v>1426</v>
      </c>
      <c r="J858" t="s">
        <v>1426</v>
      </c>
    </row>
    <row r="859" spans="1:10" x14ac:dyDescent="0.25">
      <c r="A859" t="s">
        <v>1422</v>
      </c>
      <c r="B859">
        <v>1491</v>
      </c>
      <c r="C859" t="s">
        <v>2094</v>
      </c>
      <c r="D859" t="s">
        <v>841</v>
      </c>
      <c r="E859">
        <v>3750</v>
      </c>
      <c r="F859" t="s">
        <v>0</v>
      </c>
      <c r="G859" t="s">
        <v>1560</v>
      </c>
      <c r="H859" t="s">
        <v>1425</v>
      </c>
      <c r="I859" t="s">
        <v>1426</v>
      </c>
      <c r="J859" t="s">
        <v>1426</v>
      </c>
    </row>
    <row r="860" spans="1:10" x14ac:dyDescent="0.25">
      <c r="A860" t="s">
        <v>1422</v>
      </c>
      <c r="B860">
        <v>1492</v>
      </c>
      <c r="C860" t="s">
        <v>2308</v>
      </c>
      <c r="D860" t="s">
        <v>842</v>
      </c>
      <c r="E860">
        <v>3500</v>
      </c>
      <c r="F860" t="s">
        <v>0</v>
      </c>
      <c r="G860" t="s">
        <v>1560</v>
      </c>
      <c r="H860" t="s">
        <v>1425</v>
      </c>
      <c r="I860" t="s">
        <v>1426</v>
      </c>
      <c r="J860" t="s">
        <v>1426</v>
      </c>
    </row>
    <row r="861" spans="1:10" x14ac:dyDescent="0.25">
      <c r="A861" t="s">
        <v>1422</v>
      </c>
      <c r="B861">
        <v>1498</v>
      </c>
      <c r="C861" t="s">
        <v>2239</v>
      </c>
      <c r="D861" t="s">
        <v>843</v>
      </c>
      <c r="E861">
        <v>6750</v>
      </c>
      <c r="F861" t="s">
        <v>0</v>
      </c>
      <c r="G861" t="s">
        <v>1560</v>
      </c>
      <c r="H861" t="s">
        <v>1425</v>
      </c>
      <c r="I861" t="s">
        <v>1426</v>
      </c>
      <c r="J861" t="s">
        <v>1426</v>
      </c>
    </row>
    <row r="862" spans="1:10" x14ac:dyDescent="0.25">
      <c r="A862" t="s">
        <v>1422</v>
      </c>
      <c r="B862">
        <v>1501</v>
      </c>
      <c r="C862" t="s">
        <v>1428</v>
      </c>
      <c r="D862" t="s">
        <v>844</v>
      </c>
      <c r="E862">
        <v>3000</v>
      </c>
      <c r="F862" t="s">
        <v>0</v>
      </c>
      <c r="G862" t="s">
        <v>1424</v>
      </c>
      <c r="H862" t="s">
        <v>1425</v>
      </c>
      <c r="I862" t="s">
        <v>1426</v>
      </c>
      <c r="J862" t="s">
        <v>1426</v>
      </c>
    </row>
    <row r="863" spans="1:10" x14ac:dyDescent="0.25">
      <c r="A863" t="s">
        <v>1422</v>
      </c>
      <c r="B863">
        <v>1502</v>
      </c>
      <c r="C863" t="s">
        <v>1523</v>
      </c>
      <c r="D863" t="s">
        <v>845</v>
      </c>
      <c r="E863">
        <v>2000</v>
      </c>
      <c r="F863" t="s">
        <v>0</v>
      </c>
      <c r="G863" t="s">
        <v>1424</v>
      </c>
      <c r="H863" t="s">
        <v>1425</v>
      </c>
      <c r="I863" t="s">
        <v>1426</v>
      </c>
      <c r="J863" t="s">
        <v>1426</v>
      </c>
    </row>
    <row r="864" spans="1:10" x14ac:dyDescent="0.25">
      <c r="A864" t="s">
        <v>1422</v>
      </c>
      <c r="B864">
        <v>1507</v>
      </c>
      <c r="C864" t="s">
        <v>2276</v>
      </c>
      <c r="D864" t="s">
        <v>846</v>
      </c>
      <c r="E864">
        <v>6000</v>
      </c>
      <c r="F864" t="s">
        <v>0</v>
      </c>
      <c r="G864" t="s">
        <v>1560</v>
      </c>
      <c r="H864" t="s">
        <v>1425</v>
      </c>
      <c r="I864" t="s">
        <v>1561</v>
      </c>
      <c r="J864" t="s">
        <v>1426</v>
      </c>
    </row>
    <row r="865" spans="1:10" x14ac:dyDescent="0.25">
      <c r="A865" t="s">
        <v>1422</v>
      </c>
      <c r="B865">
        <v>1508</v>
      </c>
      <c r="C865" t="s">
        <v>2091</v>
      </c>
      <c r="D865" t="s">
        <v>859</v>
      </c>
      <c r="E865">
        <v>5000</v>
      </c>
      <c r="F865" t="s">
        <v>0</v>
      </c>
      <c r="G865" t="s">
        <v>1560</v>
      </c>
      <c r="H865" t="s">
        <v>1425</v>
      </c>
      <c r="I865" t="s">
        <v>1561</v>
      </c>
      <c r="J865" t="s">
        <v>1426</v>
      </c>
    </row>
    <row r="866" spans="1:10" x14ac:dyDescent="0.25">
      <c r="A866" t="s">
        <v>1422</v>
      </c>
      <c r="B866">
        <v>1509</v>
      </c>
      <c r="C866" t="s">
        <v>1559</v>
      </c>
      <c r="D866" t="s">
        <v>847</v>
      </c>
      <c r="E866">
        <v>4500</v>
      </c>
      <c r="F866" t="s">
        <v>0</v>
      </c>
      <c r="G866" t="s">
        <v>1560</v>
      </c>
      <c r="H866" t="s">
        <v>1425</v>
      </c>
      <c r="I866" t="s">
        <v>1561</v>
      </c>
      <c r="J866" t="s">
        <v>1426</v>
      </c>
    </row>
    <row r="867" spans="1:10" x14ac:dyDescent="0.25">
      <c r="A867" t="s">
        <v>1422</v>
      </c>
      <c r="B867">
        <v>1510</v>
      </c>
      <c r="C867" t="s">
        <v>2235</v>
      </c>
      <c r="D867" t="s">
        <v>848</v>
      </c>
      <c r="E867">
        <v>17500</v>
      </c>
      <c r="F867" t="s">
        <v>0</v>
      </c>
      <c r="G867" t="s">
        <v>1560</v>
      </c>
      <c r="H867" t="s">
        <v>1425</v>
      </c>
      <c r="I867" t="s">
        <v>1561</v>
      </c>
      <c r="J867" t="s">
        <v>1426</v>
      </c>
    </row>
    <row r="868" spans="1:10" x14ac:dyDescent="0.25">
      <c r="A868" t="s">
        <v>1422</v>
      </c>
      <c r="B868">
        <v>1511</v>
      </c>
      <c r="C868" t="s">
        <v>2236</v>
      </c>
      <c r="D868" t="s">
        <v>849</v>
      </c>
      <c r="E868">
        <v>17500</v>
      </c>
      <c r="F868" t="s">
        <v>0</v>
      </c>
      <c r="G868" t="s">
        <v>1560</v>
      </c>
      <c r="H868" t="s">
        <v>1425</v>
      </c>
      <c r="I868" t="s">
        <v>1561</v>
      </c>
      <c r="J868" t="s">
        <v>1426</v>
      </c>
    </row>
    <row r="869" spans="1:10" x14ac:dyDescent="0.25">
      <c r="A869" t="s">
        <v>1422</v>
      </c>
      <c r="B869">
        <v>1512</v>
      </c>
      <c r="C869" t="s">
        <v>2240</v>
      </c>
      <c r="D869" t="s">
        <v>850</v>
      </c>
      <c r="E869">
        <v>6000</v>
      </c>
      <c r="F869" t="s">
        <v>0</v>
      </c>
      <c r="G869" t="s">
        <v>1560</v>
      </c>
      <c r="H869" t="s">
        <v>1425</v>
      </c>
      <c r="I869" t="s">
        <v>1561</v>
      </c>
      <c r="J869" t="s">
        <v>1426</v>
      </c>
    </row>
    <row r="870" spans="1:10" x14ac:dyDescent="0.25">
      <c r="A870" t="s">
        <v>1422</v>
      </c>
      <c r="B870">
        <v>1513</v>
      </c>
      <c r="C870" t="s">
        <v>2234</v>
      </c>
      <c r="D870" t="s">
        <v>851</v>
      </c>
      <c r="E870">
        <v>9000</v>
      </c>
      <c r="F870" t="s">
        <v>0</v>
      </c>
      <c r="G870" t="s">
        <v>1560</v>
      </c>
      <c r="H870" t="s">
        <v>1425</v>
      </c>
      <c r="I870" t="s">
        <v>1561</v>
      </c>
      <c r="J870" t="s">
        <v>1426</v>
      </c>
    </row>
    <row r="871" spans="1:10" x14ac:dyDescent="0.25">
      <c r="A871" t="s">
        <v>1422</v>
      </c>
      <c r="B871">
        <v>1514</v>
      </c>
      <c r="C871" t="s">
        <v>1674</v>
      </c>
      <c r="D871" t="s">
        <v>801</v>
      </c>
      <c r="E871">
        <v>850</v>
      </c>
      <c r="F871" t="s">
        <v>0</v>
      </c>
      <c r="G871" t="s">
        <v>1525</v>
      </c>
      <c r="H871" t="s">
        <v>1425</v>
      </c>
      <c r="I871" t="s">
        <v>1426</v>
      </c>
      <c r="J871" t="s">
        <v>1426</v>
      </c>
    </row>
    <row r="872" spans="1:10" x14ac:dyDescent="0.25">
      <c r="A872" t="s">
        <v>1422</v>
      </c>
      <c r="B872">
        <v>1515</v>
      </c>
      <c r="C872" t="s">
        <v>1744</v>
      </c>
      <c r="D872" t="s">
        <v>802</v>
      </c>
      <c r="E872">
        <v>1750</v>
      </c>
      <c r="F872" t="s">
        <v>0</v>
      </c>
      <c r="G872" t="s">
        <v>1424</v>
      </c>
      <c r="H872" t="s">
        <v>1425</v>
      </c>
      <c r="I872" t="s">
        <v>1426</v>
      </c>
      <c r="J872" t="s">
        <v>1426</v>
      </c>
    </row>
    <row r="873" spans="1:10" x14ac:dyDescent="0.25">
      <c r="A873" t="s">
        <v>1422</v>
      </c>
      <c r="B873">
        <v>1517</v>
      </c>
      <c r="C873" t="s">
        <v>1745</v>
      </c>
      <c r="D873" t="s">
        <v>803</v>
      </c>
      <c r="E873">
        <v>2500</v>
      </c>
      <c r="F873" t="s">
        <v>0</v>
      </c>
      <c r="G873" t="s">
        <v>1424</v>
      </c>
      <c r="H873" t="s">
        <v>1425</v>
      </c>
      <c r="I873" t="s">
        <v>1426</v>
      </c>
      <c r="J873" t="s">
        <v>1426</v>
      </c>
    </row>
    <row r="874" spans="1:10" x14ac:dyDescent="0.25">
      <c r="A874" t="s">
        <v>1422</v>
      </c>
      <c r="B874">
        <v>1518</v>
      </c>
      <c r="C874" t="s">
        <v>1546</v>
      </c>
      <c r="D874" t="s">
        <v>804</v>
      </c>
      <c r="E874">
        <v>4000</v>
      </c>
      <c r="F874" t="s">
        <v>0</v>
      </c>
      <c r="G874" t="s">
        <v>1424</v>
      </c>
      <c r="H874" t="s">
        <v>1425</v>
      </c>
      <c r="I874" t="s">
        <v>1426</v>
      </c>
      <c r="J874" t="s">
        <v>1426</v>
      </c>
    </row>
    <row r="875" spans="1:10" x14ac:dyDescent="0.25">
      <c r="A875" t="s">
        <v>1422</v>
      </c>
      <c r="B875">
        <v>1524</v>
      </c>
      <c r="C875" t="s">
        <v>2238</v>
      </c>
      <c r="D875" t="s">
        <v>852</v>
      </c>
      <c r="E875">
        <v>9000</v>
      </c>
      <c r="F875" t="s">
        <v>0</v>
      </c>
      <c r="G875" t="s">
        <v>1560</v>
      </c>
      <c r="H875" t="s">
        <v>1425</v>
      </c>
      <c r="I875" t="s">
        <v>1426</v>
      </c>
      <c r="J875" t="s">
        <v>1426</v>
      </c>
    </row>
    <row r="876" spans="1:10" x14ac:dyDescent="0.25">
      <c r="A876" t="s">
        <v>1422</v>
      </c>
      <c r="B876">
        <v>1525</v>
      </c>
      <c r="C876" t="s">
        <v>2241</v>
      </c>
      <c r="D876" t="s">
        <v>853</v>
      </c>
      <c r="E876">
        <v>4500</v>
      </c>
      <c r="F876" t="s">
        <v>0</v>
      </c>
      <c r="G876" t="s">
        <v>1560</v>
      </c>
      <c r="H876" t="s">
        <v>1425</v>
      </c>
      <c r="I876" t="s">
        <v>1426</v>
      </c>
      <c r="J876" t="s">
        <v>1426</v>
      </c>
    </row>
    <row r="877" spans="1:10" x14ac:dyDescent="0.25">
      <c r="A877" t="s">
        <v>1422</v>
      </c>
      <c r="B877">
        <v>1526</v>
      </c>
      <c r="C877" t="s">
        <v>2242</v>
      </c>
      <c r="D877" t="s">
        <v>854</v>
      </c>
      <c r="E877">
        <v>3600</v>
      </c>
      <c r="F877" t="s">
        <v>0</v>
      </c>
      <c r="G877" t="s">
        <v>1560</v>
      </c>
      <c r="H877" t="s">
        <v>1425</v>
      </c>
      <c r="I877" t="s">
        <v>1426</v>
      </c>
      <c r="J877" t="s">
        <v>1426</v>
      </c>
    </row>
    <row r="878" spans="1:10" x14ac:dyDescent="0.25">
      <c r="A878" t="s">
        <v>1422</v>
      </c>
      <c r="B878">
        <v>1527</v>
      </c>
      <c r="C878" t="s">
        <v>2092</v>
      </c>
      <c r="D878" t="s">
        <v>855</v>
      </c>
      <c r="E878">
        <v>3300</v>
      </c>
      <c r="F878" t="s">
        <v>0</v>
      </c>
      <c r="G878" t="s">
        <v>1560</v>
      </c>
      <c r="H878" t="s">
        <v>1425</v>
      </c>
      <c r="I878" t="s">
        <v>1426</v>
      </c>
      <c r="J878" t="s">
        <v>1426</v>
      </c>
    </row>
    <row r="879" spans="1:10" x14ac:dyDescent="0.25">
      <c r="A879" t="s">
        <v>1422</v>
      </c>
      <c r="B879">
        <v>1528</v>
      </c>
      <c r="C879" t="s">
        <v>2093</v>
      </c>
      <c r="D879" t="s">
        <v>856</v>
      </c>
      <c r="E879">
        <v>3550</v>
      </c>
      <c r="F879" t="s">
        <v>0</v>
      </c>
      <c r="G879" t="s">
        <v>1560</v>
      </c>
      <c r="H879" t="s">
        <v>1425</v>
      </c>
      <c r="I879" t="s">
        <v>1426</v>
      </c>
      <c r="J879" t="s">
        <v>1426</v>
      </c>
    </row>
    <row r="880" spans="1:10" x14ac:dyDescent="0.25">
      <c r="A880" t="s">
        <v>1422</v>
      </c>
      <c r="B880">
        <v>1529</v>
      </c>
      <c r="C880" t="s">
        <v>2297</v>
      </c>
      <c r="D880" t="s">
        <v>857</v>
      </c>
      <c r="E880">
        <v>3300</v>
      </c>
      <c r="F880" t="s">
        <v>0</v>
      </c>
      <c r="G880" t="s">
        <v>1560</v>
      </c>
      <c r="H880" t="s">
        <v>1425</v>
      </c>
      <c r="I880" t="s">
        <v>1426</v>
      </c>
      <c r="J880" t="s">
        <v>1426</v>
      </c>
    </row>
    <row r="881" spans="1:10" x14ac:dyDescent="0.25">
      <c r="A881" t="s">
        <v>1422</v>
      </c>
      <c r="B881">
        <v>1530</v>
      </c>
      <c r="C881" t="s">
        <v>1562</v>
      </c>
      <c r="D881" t="s">
        <v>858</v>
      </c>
      <c r="E881">
        <v>4800</v>
      </c>
      <c r="F881" t="s">
        <v>0</v>
      </c>
      <c r="G881" t="s">
        <v>1560</v>
      </c>
      <c r="H881" t="s">
        <v>1425</v>
      </c>
      <c r="I881" t="s">
        <v>1426</v>
      </c>
      <c r="J881" t="s">
        <v>1426</v>
      </c>
    </row>
    <row r="882" spans="1:10" x14ac:dyDescent="0.25">
      <c r="A882" t="s">
        <v>1422</v>
      </c>
      <c r="B882">
        <v>1566</v>
      </c>
      <c r="C882" t="s">
        <v>2157</v>
      </c>
      <c r="D882" t="s">
        <v>2158</v>
      </c>
      <c r="E882">
        <v>1500</v>
      </c>
      <c r="F882" t="s">
        <v>0</v>
      </c>
      <c r="G882" t="s">
        <v>1525</v>
      </c>
      <c r="H882" t="s">
        <v>1425</v>
      </c>
      <c r="I882" t="s">
        <v>1426</v>
      </c>
      <c r="J882" t="s">
        <v>1426</v>
      </c>
    </row>
  </sheetData>
  <sortState xmlns:xlrd2="http://schemas.microsoft.com/office/spreadsheetml/2017/richdata2" ref="O3:T722">
    <sortCondition ref="O3:O72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DONUSTURUCUYE</vt:lpstr>
      <vt:lpstr>ADANKYE_YAPISTIR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Suveren</dc:creator>
  <cp:lastModifiedBy>ahmet remzi suveren</cp:lastModifiedBy>
  <cp:lastPrinted>2026-03-02T11:10:00Z</cp:lastPrinted>
  <dcterms:created xsi:type="dcterms:W3CDTF">2015-06-05T18:19:34Z</dcterms:created>
  <dcterms:modified xsi:type="dcterms:W3CDTF">2026-04-23T13:48:49Z</dcterms:modified>
</cp:coreProperties>
</file>